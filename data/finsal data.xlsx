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7th sem\Skills\7 data analytics\projects\02 instagram\02 ipl\"/>
    </mc:Choice>
  </mc:AlternateContent>
  <xr:revisionPtr revIDLastSave="0" documentId="13_ncr:1_{7811DB21-842E-4B44-A07E-AA854683918B}" xr6:coauthVersionLast="47" xr6:coauthVersionMax="47" xr10:uidLastSave="{00000000-0000-0000-0000-000000000000}"/>
  <bookViews>
    <workbookView xWindow="-120" yWindow="-120" windowWidth="20730" windowHeight="11160" xr2:uid="{FB62FDF2-7E14-4450-95FF-7BDB308F1A35}"/>
  </bookViews>
  <sheets>
    <sheet name="final data" sheetId="3" r:id="rId1"/>
  </sheets>
  <definedNames>
    <definedName name="ExternalData_5" localSheetId="0" hidden="1">'final data'!$A$1:$M$228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" i="3" l="1" a="1"/>
  <c r="F2" i="3" s="1"/>
  <c r="F3" i="3" a="1"/>
  <c r="F3" i="3" s="1"/>
  <c r="F4" i="3" a="1"/>
  <c r="F4" i="3" s="1"/>
  <c r="F5" i="3" a="1"/>
  <c r="F5" i="3" s="1"/>
  <c r="F6" i="3" a="1"/>
  <c r="F6" i="3" s="1"/>
  <c r="F7" i="3" a="1"/>
  <c r="F7" i="3" s="1"/>
  <c r="F8" i="3" a="1"/>
  <c r="F8" i="3" s="1"/>
  <c r="F9" i="3" a="1"/>
  <c r="F9" i="3" s="1"/>
  <c r="F10" i="3" a="1"/>
  <c r="F10" i="3" s="1"/>
  <c r="F11" i="3" a="1"/>
  <c r="F11" i="3" s="1"/>
  <c r="F12" i="3" a="1"/>
  <c r="F12" i="3" s="1"/>
  <c r="F13" i="3" a="1"/>
  <c r="F13" i="3" s="1"/>
  <c r="F14" i="3" a="1"/>
  <c r="F14" i="3" s="1"/>
  <c r="F15" i="3" a="1"/>
  <c r="F15" i="3" s="1"/>
  <c r="F16" i="3" a="1"/>
  <c r="F16" i="3" s="1"/>
  <c r="F17" i="3" a="1"/>
  <c r="F17" i="3" s="1"/>
  <c r="F18" i="3" a="1"/>
  <c r="F18" i="3" s="1"/>
  <c r="F19" i="3" a="1"/>
  <c r="F19" i="3" s="1"/>
  <c r="F20" i="3" a="1"/>
  <c r="F20" i="3" s="1"/>
  <c r="F21" i="3" a="1"/>
  <c r="F21" i="3" s="1"/>
  <c r="F22" i="3" a="1"/>
  <c r="F22" i="3" s="1"/>
  <c r="F23" i="3" a="1"/>
  <c r="F23" i="3" s="1"/>
  <c r="F24" i="3" a="1"/>
  <c r="F24" i="3" s="1"/>
  <c r="F25" i="3" a="1"/>
  <c r="F25" i="3" s="1"/>
  <c r="F26" i="3" a="1"/>
  <c r="F26" i="3" s="1"/>
  <c r="F27" i="3" a="1"/>
  <c r="F27" i="3" s="1"/>
  <c r="F28" i="3" a="1"/>
  <c r="F28" i="3" s="1"/>
  <c r="F29" i="3" a="1"/>
  <c r="F29" i="3" s="1"/>
  <c r="F30" i="3" a="1"/>
  <c r="F30" i="3" s="1"/>
  <c r="F31" i="3" a="1"/>
  <c r="F31" i="3" s="1"/>
  <c r="F32" i="3" a="1"/>
  <c r="F32" i="3" s="1"/>
  <c r="F33" i="3" a="1"/>
  <c r="F33" i="3" s="1"/>
  <c r="F34" i="3" a="1"/>
  <c r="F34" i="3" s="1"/>
  <c r="F35" i="3" a="1"/>
  <c r="F35" i="3" s="1"/>
  <c r="F36" i="3" a="1"/>
  <c r="F36" i="3" s="1"/>
  <c r="F37" i="3" a="1"/>
  <c r="F37" i="3" s="1"/>
  <c r="F38" i="3" a="1"/>
  <c r="F38" i="3" s="1"/>
  <c r="F39" i="3" a="1"/>
  <c r="F39" i="3" s="1"/>
  <c r="F40" i="3" a="1"/>
  <c r="F40" i="3" s="1"/>
  <c r="F41" i="3" a="1"/>
  <c r="F41" i="3" s="1"/>
  <c r="F42" i="3" a="1"/>
  <c r="F42" i="3" s="1"/>
  <c r="F43" i="3" a="1"/>
  <c r="F43" i="3" s="1"/>
  <c r="F44" i="3" a="1"/>
  <c r="F44" i="3" s="1"/>
  <c r="F45" i="3" a="1"/>
  <c r="F45" i="3" s="1"/>
  <c r="F46" i="3" a="1"/>
  <c r="F46" i="3" s="1"/>
  <c r="F47" i="3" a="1"/>
  <c r="F47" i="3" s="1"/>
  <c r="F48" i="3" a="1"/>
  <c r="F48" i="3" s="1"/>
  <c r="F49" i="3" a="1"/>
  <c r="F49" i="3" s="1"/>
  <c r="F50" i="3" a="1"/>
  <c r="F50" i="3" s="1"/>
  <c r="F51" i="3" a="1"/>
  <c r="F51" i="3" s="1"/>
  <c r="F52" i="3" a="1"/>
  <c r="F52" i="3" s="1"/>
  <c r="F53" i="3" a="1"/>
  <c r="F53" i="3" s="1"/>
  <c r="F54" i="3" a="1"/>
  <c r="F54" i="3" s="1"/>
  <c r="F55" i="3" a="1"/>
  <c r="F55" i="3" s="1"/>
  <c r="F56" i="3" a="1"/>
  <c r="F56" i="3" s="1"/>
  <c r="F57" i="3" a="1"/>
  <c r="F57" i="3" s="1"/>
  <c r="F58" i="3" a="1"/>
  <c r="F58" i="3" s="1"/>
  <c r="F59" i="3" a="1"/>
  <c r="F59" i="3" s="1"/>
  <c r="F60" i="3" a="1"/>
  <c r="F60" i="3" s="1"/>
  <c r="F61" i="3" a="1"/>
  <c r="F61" i="3" s="1"/>
  <c r="F62" i="3" a="1"/>
  <c r="F62" i="3" s="1"/>
  <c r="F63" i="3" a="1"/>
  <c r="F63" i="3" s="1"/>
  <c r="F64" i="3" a="1"/>
  <c r="F64" i="3" s="1"/>
  <c r="F65" i="3" a="1"/>
  <c r="F65" i="3" s="1"/>
  <c r="F66" i="3" a="1"/>
  <c r="F66" i="3" s="1"/>
  <c r="F67" i="3" a="1"/>
  <c r="F67" i="3" s="1"/>
  <c r="F68" i="3" a="1"/>
  <c r="F68" i="3" s="1"/>
  <c r="F69" i="3" a="1"/>
  <c r="F69" i="3" s="1"/>
  <c r="F70" i="3" a="1"/>
  <c r="F70" i="3" s="1"/>
  <c r="F71" i="3" a="1"/>
  <c r="F71" i="3" s="1"/>
  <c r="F72" i="3" a="1"/>
  <c r="F72" i="3" s="1"/>
  <c r="F73" i="3" a="1"/>
  <c r="F73" i="3" s="1"/>
  <c r="F74" i="3" a="1"/>
  <c r="F74" i="3" s="1"/>
  <c r="F75" i="3" a="1"/>
  <c r="F75" i="3" s="1"/>
  <c r="F76" i="3" a="1"/>
  <c r="F76" i="3" s="1"/>
  <c r="F77" i="3" a="1"/>
  <c r="F77" i="3" s="1"/>
  <c r="F78" i="3" a="1"/>
  <c r="F78" i="3" s="1"/>
  <c r="F79" i="3" a="1"/>
  <c r="F79" i="3" s="1"/>
  <c r="F80" i="3" a="1"/>
  <c r="F80" i="3" s="1"/>
  <c r="F81" i="3" a="1"/>
  <c r="F81" i="3" s="1"/>
  <c r="F82" i="3" a="1"/>
  <c r="F82" i="3" s="1"/>
  <c r="F83" i="3" a="1"/>
  <c r="F83" i="3" s="1"/>
  <c r="F84" i="3" a="1"/>
  <c r="F84" i="3" s="1"/>
  <c r="F85" i="3" a="1"/>
  <c r="F85" i="3" s="1"/>
  <c r="F86" i="3" a="1"/>
  <c r="F86" i="3" s="1"/>
  <c r="F87" i="3" a="1"/>
  <c r="F87" i="3" s="1"/>
  <c r="F88" i="3" a="1"/>
  <c r="F88" i="3" s="1"/>
  <c r="F89" i="3" a="1"/>
  <c r="F89" i="3" s="1"/>
  <c r="F90" i="3" a="1"/>
  <c r="F90" i="3" s="1"/>
  <c r="F91" i="3" a="1"/>
  <c r="F91" i="3" s="1"/>
  <c r="F92" i="3" a="1"/>
  <c r="F92" i="3" s="1"/>
  <c r="F93" i="3" a="1"/>
  <c r="F93" i="3" s="1"/>
  <c r="F94" i="3" a="1"/>
  <c r="F94" i="3" s="1"/>
  <c r="F95" i="3" a="1"/>
  <c r="F95" i="3" s="1"/>
  <c r="F96" i="3" a="1"/>
  <c r="F96" i="3" s="1"/>
  <c r="F97" i="3" a="1"/>
  <c r="F97" i="3" s="1"/>
  <c r="F98" i="3" a="1"/>
  <c r="F98" i="3" s="1"/>
  <c r="F99" i="3" a="1"/>
  <c r="F99" i="3" s="1"/>
  <c r="F100" i="3" a="1"/>
  <c r="F100" i="3" s="1"/>
  <c r="F101" i="3" a="1"/>
  <c r="F101" i="3" s="1"/>
  <c r="F102" i="3" a="1"/>
  <c r="F102" i="3" s="1"/>
  <c r="F103" i="3" a="1"/>
  <c r="F103" i="3" s="1"/>
  <c r="F104" i="3" a="1"/>
  <c r="F104" i="3" s="1"/>
  <c r="F105" i="3" a="1"/>
  <c r="F105" i="3" s="1"/>
  <c r="F106" i="3" a="1"/>
  <c r="F106" i="3" s="1"/>
  <c r="F107" i="3" a="1"/>
  <c r="F107" i="3" s="1"/>
  <c r="F108" i="3" a="1"/>
  <c r="F108" i="3" s="1"/>
  <c r="F109" i="3" a="1"/>
  <c r="F109" i="3" s="1"/>
  <c r="F110" i="3" a="1"/>
  <c r="F110" i="3" s="1"/>
  <c r="F111" i="3" a="1"/>
  <c r="F111" i="3" s="1"/>
  <c r="F112" i="3" a="1"/>
  <c r="F112" i="3" s="1"/>
  <c r="F113" i="3" a="1"/>
  <c r="F113" i="3" s="1"/>
  <c r="F114" i="3" a="1"/>
  <c r="F114" i="3" s="1"/>
  <c r="F115" i="3" a="1"/>
  <c r="F115" i="3" s="1"/>
  <c r="F116" i="3" a="1"/>
  <c r="F116" i="3" s="1"/>
  <c r="F117" i="3" a="1"/>
  <c r="F117" i="3" s="1"/>
  <c r="F118" i="3" a="1"/>
  <c r="F118" i="3" s="1"/>
  <c r="F119" i="3" a="1"/>
  <c r="F119" i="3" s="1"/>
  <c r="F120" i="3" a="1"/>
  <c r="F120" i="3" s="1"/>
  <c r="F121" i="3" a="1"/>
  <c r="F121" i="3" s="1"/>
  <c r="F122" i="3" a="1"/>
  <c r="F122" i="3" s="1"/>
  <c r="F123" i="3" a="1"/>
  <c r="F123" i="3" s="1"/>
  <c r="F124" i="3" a="1"/>
  <c r="F124" i="3" s="1"/>
  <c r="F125" i="3" a="1"/>
  <c r="F125" i="3" s="1"/>
  <c r="F126" i="3" a="1"/>
  <c r="F126" i="3" s="1"/>
  <c r="F127" i="3" a="1"/>
  <c r="F127" i="3" s="1"/>
  <c r="F128" i="3" a="1"/>
  <c r="F128" i="3" s="1"/>
  <c r="F129" i="3" a="1"/>
  <c r="F129" i="3" s="1"/>
  <c r="F130" i="3" a="1"/>
  <c r="F130" i="3" s="1"/>
  <c r="F131" i="3" a="1"/>
  <c r="F131" i="3" s="1"/>
  <c r="F132" i="3" a="1"/>
  <c r="F132" i="3" s="1"/>
  <c r="F133" i="3" a="1"/>
  <c r="F133" i="3" s="1"/>
  <c r="F134" i="3" a="1"/>
  <c r="F134" i="3" s="1"/>
  <c r="F135" i="3" a="1"/>
  <c r="F135" i="3" s="1"/>
  <c r="F136" i="3" a="1"/>
  <c r="F136" i="3" s="1"/>
  <c r="F137" i="3" a="1"/>
  <c r="F137" i="3" s="1"/>
  <c r="F138" i="3" a="1"/>
  <c r="F138" i="3" s="1"/>
  <c r="F139" i="3" a="1"/>
  <c r="F139" i="3" s="1"/>
  <c r="F140" i="3" a="1"/>
  <c r="F140" i="3" s="1"/>
  <c r="F141" i="3" a="1"/>
  <c r="F141" i="3" s="1"/>
  <c r="F142" i="3" a="1"/>
  <c r="F142" i="3" s="1"/>
  <c r="F143" i="3" a="1"/>
  <c r="F143" i="3" s="1"/>
  <c r="F144" i="3" a="1"/>
  <c r="F144" i="3" s="1"/>
  <c r="F145" i="3" a="1"/>
  <c r="F145" i="3" s="1"/>
  <c r="F146" i="3" a="1"/>
  <c r="F146" i="3" s="1"/>
  <c r="F147" i="3" a="1"/>
  <c r="F147" i="3" s="1"/>
  <c r="F148" i="3" a="1"/>
  <c r="F148" i="3" s="1"/>
  <c r="F149" i="3" a="1"/>
  <c r="F149" i="3" s="1"/>
  <c r="F150" i="3" a="1"/>
  <c r="F150" i="3" s="1"/>
  <c r="F151" i="3" a="1"/>
  <c r="F151" i="3" s="1"/>
  <c r="F152" i="3" a="1"/>
  <c r="F152" i="3" s="1"/>
  <c r="F153" i="3" a="1"/>
  <c r="F153" i="3" s="1"/>
  <c r="F154" i="3" a="1"/>
  <c r="F154" i="3" s="1"/>
  <c r="F155" i="3" a="1"/>
  <c r="F155" i="3" s="1"/>
  <c r="F156" i="3" a="1"/>
  <c r="F156" i="3" s="1"/>
  <c r="F157" i="3" a="1"/>
  <c r="F157" i="3" s="1"/>
  <c r="F158" i="3" a="1"/>
  <c r="F158" i="3" s="1"/>
  <c r="F159" i="3" a="1"/>
  <c r="F159" i="3" s="1"/>
  <c r="F160" i="3" a="1"/>
  <c r="F160" i="3" s="1"/>
  <c r="F161" i="3" a="1"/>
  <c r="F161" i="3" s="1"/>
  <c r="F162" i="3" a="1"/>
  <c r="F162" i="3" s="1"/>
  <c r="F163" i="3" a="1"/>
  <c r="F163" i="3" s="1"/>
  <c r="F164" i="3" a="1"/>
  <c r="F164" i="3" s="1"/>
  <c r="F165" i="3" a="1"/>
  <c r="F165" i="3" s="1"/>
  <c r="F166" i="3" a="1"/>
  <c r="F166" i="3" s="1"/>
  <c r="F167" i="3" a="1"/>
  <c r="F167" i="3" s="1"/>
  <c r="F168" i="3" a="1"/>
  <c r="F168" i="3" s="1"/>
  <c r="F169" i="3" a="1"/>
  <c r="F169" i="3" s="1"/>
  <c r="F170" i="3" a="1"/>
  <c r="F170" i="3" s="1"/>
  <c r="F171" i="3" a="1"/>
  <c r="F171" i="3" s="1"/>
  <c r="F172" i="3" a="1"/>
  <c r="F172" i="3"/>
  <c r="F173" i="3" a="1"/>
  <c r="F173" i="3" s="1"/>
  <c r="F174" i="3" a="1"/>
  <c r="F174" i="3"/>
  <c r="F175" i="3" a="1"/>
  <c r="F175" i="3" s="1"/>
  <c r="F176" i="3" a="1"/>
  <c r="F176" i="3" s="1"/>
  <c r="F177" i="3" a="1"/>
  <c r="F177" i="3" s="1"/>
  <c r="F178" i="3" a="1"/>
  <c r="F178" i="3" s="1"/>
  <c r="F179" i="3" a="1"/>
  <c r="F179" i="3" s="1"/>
  <c r="F180" i="3" a="1"/>
  <c r="F180" i="3" s="1"/>
  <c r="F181" i="3" a="1"/>
  <c r="F181" i="3" s="1"/>
  <c r="F182" i="3" a="1"/>
  <c r="F182" i="3" s="1"/>
  <c r="F183" i="3" a="1"/>
  <c r="F183" i="3" s="1"/>
  <c r="F184" i="3" a="1"/>
  <c r="F184" i="3" s="1"/>
  <c r="F185" i="3" a="1"/>
  <c r="F185" i="3" s="1"/>
  <c r="F186" i="3" a="1"/>
  <c r="F186" i="3" s="1"/>
  <c r="F187" i="3" a="1"/>
  <c r="F187" i="3" s="1"/>
  <c r="F188" i="3" a="1"/>
  <c r="F188" i="3"/>
  <c r="F189" i="3" a="1"/>
  <c r="F189" i="3" s="1"/>
  <c r="F190" i="3" a="1"/>
  <c r="F190" i="3"/>
  <c r="F191" i="3" a="1"/>
  <c r="F191" i="3" s="1"/>
  <c r="F192" i="3" a="1"/>
  <c r="F192" i="3" s="1"/>
  <c r="F193" i="3" a="1"/>
  <c r="F193" i="3" s="1"/>
  <c r="F194" i="3" a="1"/>
  <c r="F194" i="3" s="1"/>
  <c r="F195" i="3" a="1"/>
  <c r="F195" i="3" s="1"/>
  <c r="F196" i="3" a="1"/>
  <c r="F196" i="3" s="1"/>
  <c r="F197" i="3" a="1"/>
  <c r="F197" i="3" s="1"/>
  <c r="F198" i="3" a="1"/>
  <c r="F198" i="3" s="1"/>
  <c r="F199" i="3" a="1"/>
  <c r="F199" i="3" s="1"/>
  <c r="F200" i="3" a="1"/>
  <c r="F200" i="3" s="1"/>
  <c r="F201" i="3" a="1"/>
  <c r="F201" i="3" s="1"/>
  <c r="F202" i="3" a="1"/>
  <c r="F202" i="3" s="1"/>
  <c r="F203" i="3" a="1"/>
  <c r="F203" i="3" s="1"/>
  <c r="F204" i="3" a="1"/>
  <c r="F204" i="3"/>
  <c r="F205" i="3" a="1"/>
  <c r="F205" i="3" s="1"/>
  <c r="F206" i="3" a="1"/>
  <c r="F206" i="3"/>
  <c r="F207" i="3" a="1"/>
  <c r="F207" i="3" s="1"/>
  <c r="F208" i="3" a="1"/>
  <c r="F208" i="3" s="1"/>
  <c r="F209" i="3" a="1"/>
  <c r="F209" i="3" s="1"/>
  <c r="F210" i="3" a="1"/>
  <c r="F210" i="3" s="1"/>
  <c r="F211" i="3" a="1"/>
  <c r="F211" i="3" s="1"/>
  <c r="F212" i="3" a="1"/>
  <c r="F212" i="3" s="1"/>
  <c r="F213" i="3" a="1"/>
  <c r="F213" i="3" s="1"/>
  <c r="F214" i="3" a="1"/>
  <c r="F214" i="3" s="1"/>
  <c r="F215" i="3" a="1"/>
  <c r="F215" i="3" s="1"/>
  <c r="F216" i="3" a="1"/>
  <c r="F216" i="3" s="1"/>
  <c r="F217" i="3" a="1"/>
  <c r="F217" i="3" s="1"/>
  <c r="F218" i="3" a="1"/>
  <c r="F218" i="3" s="1"/>
  <c r="F219" i="3" a="1"/>
  <c r="F219" i="3" s="1"/>
  <c r="F220" i="3" a="1"/>
  <c r="F220" i="3"/>
  <c r="F221" i="3" a="1"/>
  <c r="F221" i="3" s="1"/>
  <c r="F222" i="3" a="1"/>
  <c r="F222" i="3"/>
  <c r="F223" i="3" a="1"/>
  <c r="F223" i="3" s="1"/>
  <c r="F224" i="3" a="1"/>
  <c r="F224" i="3" s="1"/>
  <c r="F225" i="3" a="1"/>
  <c r="F225" i="3" s="1"/>
  <c r="F226" i="3" a="1"/>
  <c r="F226" i="3" s="1"/>
  <c r="F227" i="3" a="1"/>
  <c r="F227" i="3" s="1"/>
  <c r="F228" i="3" a="1"/>
  <c r="F228" i="3" s="1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73C1F4-0BAC-4329-A252-918E994E93FC}" keepAlive="1" name="Query - Merge3" description="Connection to the 'Merge3' query in the workbook." type="5" refreshedVersion="8" background="1" saveData="1">
    <dbPr connection="Provider=Microsoft.Mashup.OleDb.1;Data Source=$Workbook$;Location=Merge3;Extended Properties=&quot;&quot;" command="SELECT * FROM [Merge3]"/>
  </connection>
  <connection id="2" xr16:uid="{0EA6FF7B-A0CE-44E5-84AB-44109687C0CB}" keepAlive="1" name="Query - Merge3 (2)" description="Connection to the 'Merge3 (2)' query in the workbook." type="5" refreshedVersion="8" background="1" saveData="1">
    <dbPr connection="Provider=Microsoft.Mashup.OleDb.1;Data Source=$Workbook$;Location=&quot;Merge3 (2)&quot;;Extended Properties=&quot;&quot;" command="SELECT * FROM [Merge3 (2)]"/>
  </connection>
  <connection id="3" xr16:uid="{4B50BC46-9586-4857-A135-44FFDF2FFE1B}" keepAlive="1" name="Query - Sheet1" description="Connection to the 'Sheet1' query in the workbook." type="5" refreshedVersion="0" background="1">
    <dbPr connection="Provider=Microsoft.Mashup.OleDb.1;Data Source=$Workbook$;Location=Sheet1;Extended Properties=&quot;&quot;" command="SELECT * FROM [Sheet1]"/>
  </connection>
  <connection id="4" xr16:uid="{C1C88B81-7896-44CB-BDEB-7A3C3EAEBED1}" keepAlive="1" name="Query - Sheet1 (2)" description="Connection to the 'Sheet1 (2)' query in the workbook." type="5" refreshedVersion="0" background="1">
    <dbPr connection="Provider=Microsoft.Mashup.OleDb.1;Data Source=$Workbook$;Location=&quot;Sheet1 (2)&quot;;Extended Properties=&quot;&quot;" command="SELECT * FROM [Sheet1 (2)]"/>
  </connection>
  <connection id="5" xr16:uid="{62A0F7E0-9BE3-43CC-B58A-1BB1AD8F9711}" keepAlive="1" name="Query - sold players" description="Connection to the 'sold players' query in the workbook." type="5" refreshedVersion="0" background="1">
    <dbPr connection="Provider=Microsoft.Mashup.OleDb.1;Data Source=$Workbook$;Location=&quot;sold players&quot;;Extended Properties=&quot;&quot;" command="SELECT * FROM [sold players]"/>
  </connection>
  <connection id="6" xr16:uid="{88EB52A2-CBCC-4B35-8F25-EBF874D9BF07}" keepAlive="1" name="Query - sold players (2)" description="Connection to the 'sold players (2)' query in the workbook." type="5" refreshedVersion="0" background="1">
    <dbPr connection="Provider=Microsoft.Mashup.OleDb.1;Data Source=$Workbook$;Location=&quot;sold players (2)&quot;;Extended Properties=&quot;&quot;" command="SELECT * FROM [sold players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<sst xmlns="http://schemas.openxmlformats.org/spreadsheetml/2006/main" count="1875" uniqueCount="296">
  <si>
    <t>full name</t>
  </si>
  <si>
    <t>Country</t>
  </si>
  <si>
    <t>State Association</t>
  </si>
  <si>
    <t>National/International</t>
  </si>
  <si>
    <t>Age</t>
  </si>
  <si>
    <t>2024 Team</t>
  </si>
  <si>
    <t>Team</t>
  </si>
  <si>
    <t>Type</t>
  </si>
  <si>
    <t>Base</t>
  </si>
  <si>
    <t>Sold</t>
  </si>
  <si>
    <t>Category</t>
  </si>
  <si>
    <t>Jos Buttler</t>
  </si>
  <si>
    <t>England</t>
  </si>
  <si>
    <t>International</t>
  </si>
  <si>
    <t>RR</t>
  </si>
  <si>
    <t>Capped</t>
  </si>
  <si>
    <t>GT</t>
  </si>
  <si>
    <t>BAT</t>
  </si>
  <si>
    <t>Auctioned</t>
  </si>
  <si>
    <t>Shreyas Iyer</t>
  </si>
  <si>
    <t>India</t>
  </si>
  <si>
    <t>MCA</t>
  </si>
  <si>
    <t>KKR</t>
  </si>
  <si>
    <t>PBKS</t>
  </si>
  <si>
    <t>Rishabh Pant</t>
  </si>
  <si>
    <t>DDCA</t>
  </si>
  <si>
    <t>DC</t>
  </si>
  <si>
    <t>LSG</t>
  </si>
  <si>
    <t>Kagiso Rabada</t>
  </si>
  <si>
    <t>South Africa</t>
  </si>
  <si>
    <t>BOWL</t>
  </si>
  <si>
    <t>Arshdeep Singh</t>
  </si>
  <si>
    <t>PCA</t>
  </si>
  <si>
    <t>Mitchell Starc</t>
  </si>
  <si>
    <t>Australia</t>
  </si>
  <si>
    <t>Yuzvendra Chahal</t>
  </si>
  <si>
    <t>HCA</t>
  </si>
  <si>
    <t>Liam Livingstone</t>
  </si>
  <si>
    <t>RCB</t>
  </si>
  <si>
    <t>AR</t>
  </si>
  <si>
    <t>David Miller</t>
  </si>
  <si>
    <t>KL Rahul</t>
  </si>
  <si>
    <t>KSCA</t>
  </si>
  <si>
    <t>Harry Brook</t>
  </si>
  <si>
    <t>Devon Conway</t>
  </si>
  <si>
    <t>New Zealand</t>
  </si>
  <si>
    <t>CSK</t>
  </si>
  <si>
    <t>Aiden Markram</t>
  </si>
  <si>
    <t>SRH</t>
  </si>
  <si>
    <t>Devdutt Padikkal</t>
  </si>
  <si>
    <t>Rahul Tripathi</t>
  </si>
  <si>
    <t>MACA</t>
  </si>
  <si>
    <t>Venkatesh Iyer</t>
  </si>
  <si>
    <t>MPCA</t>
  </si>
  <si>
    <t>Mitchell Marsh</t>
  </si>
  <si>
    <t>Glenn Maxwell</t>
  </si>
  <si>
    <t>Harshal Patel</t>
  </si>
  <si>
    <t>Rachin Ravindra</t>
  </si>
  <si>
    <t>Marcus Stoinis</t>
  </si>
  <si>
    <t>Rahmanullah Gurbaz</t>
  </si>
  <si>
    <t>Afghanistan</t>
  </si>
  <si>
    <t>Ishan Kishan</t>
  </si>
  <si>
    <t>JSCA</t>
  </si>
  <si>
    <t>MI</t>
  </si>
  <si>
    <t>Phil Salt</t>
  </si>
  <si>
    <t>Jitesh Sharma</t>
  </si>
  <si>
    <t>VCA</t>
  </si>
  <si>
    <t>Trent Boult</t>
  </si>
  <si>
    <t>Josh Hazlewood</t>
  </si>
  <si>
    <t>do not play in 2024</t>
  </si>
  <si>
    <t>Avesh Khan</t>
  </si>
  <si>
    <t>Prasidh Krishna</t>
  </si>
  <si>
    <t>Anrich Nortje</t>
  </si>
  <si>
    <t>Noor Ahmad</t>
  </si>
  <si>
    <t>Rahul Chahar</t>
  </si>
  <si>
    <t>RCA</t>
  </si>
  <si>
    <t>Wanindu Hasaranga</t>
  </si>
  <si>
    <t>Sri Lanka</t>
  </si>
  <si>
    <t>Maheesh Theekshana</t>
  </si>
  <si>
    <t>Adam Zampa</t>
  </si>
  <si>
    <t>Abhinav Manohar</t>
  </si>
  <si>
    <t>Uncapped</t>
  </si>
  <si>
    <t>Karun Nair</t>
  </si>
  <si>
    <t>Angkrish Raghuvanshi</t>
  </si>
  <si>
    <t>Atharva Taide</t>
  </si>
  <si>
    <t>Nehal Wadhera</t>
  </si>
  <si>
    <t>Harpreet Brar</t>
  </si>
  <si>
    <t>Naman Dhir</t>
  </si>
  <si>
    <t>Mahipal Lomror</t>
  </si>
  <si>
    <t>Sameer Rizvi</t>
  </si>
  <si>
    <t>UPCA</t>
  </si>
  <si>
    <t>Abdul Samad</t>
  </si>
  <si>
    <t>JKCA</t>
  </si>
  <si>
    <t>Vijay Shankar</t>
  </si>
  <si>
    <t>TNCA</t>
  </si>
  <si>
    <t>Ashutosh Sharma</t>
  </si>
  <si>
    <t>RSPB</t>
  </si>
  <si>
    <t>Nishant Sindhu</t>
  </si>
  <si>
    <t>Aryan Juyal</t>
  </si>
  <si>
    <t>Kumar Kushagra</t>
  </si>
  <si>
    <t>Robin Minz</t>
  </si>
  <si>
    <t>Anuj Rawat</t>
  </si>
  <si>
    <t>Luvnith Sisodia</t>
  </si>
  <si>
    <t>Vishnu Vinod</t>
  </si>
  <si>
    <t>KCA</t>
  </si>
  <si>
    <t>Vaibhav Arora</t>
  </si>
  <si>
    <t>HPCA</t>
  </si>
  <si>
    <t>Akash Madhwal</t>
  </si>
  <si>
    <t>CAU</t>
  </si>
  <si>
    <t>Mohit Sharma</t>
  </si>
  <si>
    <t>Simarjeet Singh</t>
  </si>
  <si>
    <t>Yash Thakur</t>
  </si>
  <si>
    <t>Shreyas Gopal</t>
  </si>
  <si>
    <t>Mayank Markande</t>
  </si>
  <si>
    <t>Suyash Sharma</t>
  </si>
  <si>
    <t>Karn Sharma</t>
  </si>
  <si>
    <t>Manav Suthar</t>
  </si>
  <si>
    <t>Glenn Phillips</t>
  </si>
  <si>
    <t>Rovman Powell</t>
  </si>
  <si>
    <t>West Indies</t>
  </si>
  <si>
    <t>Ajinkya Rahane</t>
  </si>
  <si>
    <t>Sam Curran</t>
  </si>
  <si>
    <t>Marco Jansen</t>
  </si>
  <si>
    <t>Krunal Pandya</t>
  </si>
  <si>
    <t>BCA</t>
  </si>
  <si>
    <t>Nitish Rana</t>
  </si>
  <si>
    <t>Washington Sundar</t>
  </si>
  <si>
    <t>Donovan Ferreira</t>
  </si>
  <si>
    <t>Josh Inglis</t>
  </si>
  <si>
    <t>Ryan Rickelton</t>
  </si>
  <si>
    <t>Deepak Chahar</t>
  </si>
  <si>
    <t>Gerald Coetzee</t>
  </si>
  <si>
    <t>Mi</t>
  </si>
  <si>
    <t>Akash Deep</t>
  </si>
  <si>
    <t>CAB</t>
  </si>
  <si>
    <t>Tushar Deshpande</t>
  </si>
  <si>
    <t>Lockie Ferguson</t>
  </si>
  <si>
    <t>Bhuvneshwar Kumar</t>
  </si>
  <si>
    <t>Mukesh Kumar</t>
  </si>
  <si>
    <t>Shubham Dubey</t>
  </si>
  <si>
    <t>Shaik Rasheed</t>
  </si>
  <si>
    <t>ACA</t>
  </si>
  <si>
    <t>Himmat Singh</t>
  </si>
  <si>
    <t>Anshul Kamboj</t>
  </si>
  <si>
    <t>Darshan Nalkande</t>
  </si>
  <si>
    <t>Anukul Roy</t>
  </si>
  <si>
    <t>Swapnil Singh</t>
  </si>
  <si>
    <t>Vansh Bedi</t>
  </si>
  <si>
    <t>Mukesh Choudhary</t>
  </si>
  <si>
    <t>Arjun Tendulkar</t>
  </si>
  <si>
    <t>GCA</t>
  </si>
  <si>
    <t>Zeeshan Ansari</t>
  </si>
  <si>
    <t>Digvesh Singh</t>
  </si>
  <si>
    <t>Manish Pandey</t>
  </si>
  <si>
    <t>Sherfane Rutherford</t>
  </si>
  <si>
    <t>Moeen Ali</t>
  </si>
  <si>
    <t>Tim David</t>
  </si>
  <si>
    <t>Deepak Hooda</t>
  </si>
  <si>
    <t>Will Jacks</t>
  </si>
  <si>
    <t>Azmatullah Omarzai</t>
  </si>
  <si>
    <t>Romario Shepherd</t>
  </si>
  <si>
    <t>Spencer Johnson</t>
  </si>
  <si>
    <t>Umran Malik</t>
  </si>
  <si>
    <t>Ishant Sharma</t>
  </si>
  <si>
    <t>Nuwan Thushara</t>
  </si>
  <si>
    <t>Jaydev Unadkat</t>
  </si>
  <si>
    <t>SCA</t>
  </si>
  <si>
    <t>Sachin Baby</t>
  </si>
  <si>
    <t>Rajvardhan Hangargekar</t>
  </si>
  <si>
    <t>Arshin Kulkarni</t>
  </si>
  <si>
    <t>Ashwani Kumar</t>
  </si>
  <si>
    <t>Akash Singh</t>
  </si>
  <si>
    <t>Gurjapneet Singh</t>
  </si>
  <si>
    <t>Matthew Breetzke</t>
  </si>
  <si>
    <t>Mitchell Santner</t>
  </si>
  <si>
    <t>Jayant Yadav</t>
  </si>
  <si>
    <t>Fazalhaq Farooqi</t>
  </si>
  <si>
    <t>Kwena Maphaka</t>
  </si>
  <si>
    <t>Kuldeep Sen</t>
  </si>
  <si>
    <t>Reece Topley</t>
  </si>
  <si>
    <t>Lizaad Williams</t>
  </si>
  <si>
    <t>Priyansh Arya</t>
  </si>
  <si>
    <t>Manoj Bhandage</t>
  </si>
  <si>
    <t>Ajay Mandal</t>
  </si>
  <si>
    <t>CSCSCA</t>
  </si>
  <si>
    <t>Vipraj Nigam</t>
  </si>
  <si>
    <t>Mohit Rathee</t>
  </si>
  <si>
    <t>SSCB</t>
  </si>
  <si>
    <t>Jacob Bethell</t>
  </si>
  <si>
    <t>Brydon Carse</t>
  </si>
  <si>
    <t>Aaron Hardie</t>
  </si>
  <si>
    <t>Kamindu Mendis</t>
  </si>
  <si>
    <t>Dushmantha Chameera</t>
  </si>
  <si>
    <t>Nathan Ellis</t>
  </si>
  <si>
    <t>Shamar Joseph</t>
  </si>
  <si>
    <t>Aniket Verma</t>
  </si>
  <si>
    <t>Musheer Khan</t>
  </si>
  <si>
    <t>Suryansh Shedge</t>
  </si>
  <si>
    <t>Kulwant Khejroliya</t>
  </si>
  <si>
    <t>Prince Yadav</t>
  </si>
  <si>
    <t>Jamie Overton</t>
  </si>
  <si>
    <t>Xavier Bartlett</t>
  </si>
  <si>
    <t>Kamlesh Nagarkoti</t>
  </si>
  <si>
    <t>Abhinandan Singh</t>
  </si>
  <si>
    <t>Karim Janat</t>
  </si>
  <si>
    <t>Pyla Avinash</t>
  </si>
  <si>
    <t>Ramakrishna Ghosh</t>
  </si>
  <si>
    <t>Ashok Sharma</t>
  </si>
  <si>
    <t>Vaibhav Suryavanshi</t>
  </si>
  <si>
    <t>BICA</t>
  </si>
  <si>
    <t>Eshan Malinga</t>
  </si>
  <si>
    <t>Tripurana Vijay</t>
  </si>
  <si>
    <t>Madhav Tiwari</t>
  </si>
  <si>
    <t>Vignesh Puthur</t>
  </si>
  <si>
    <t>Virat Kohli</t>
  </si>
  <si>
    <t>National</t>
  </si>
  <si>
    <t>-</t>
  </si>
  <si>
    <t>Retained</t>
  </si>
  <si>
    <t>Rajat Patidar</t>
  </si>
  <si>
    <t>Yash Dayal</t>
  </si>
  <si>
    <t>Jasprit Bumrah</t>
  </si>
  <si>
    <t>Suryakumar Yadav</t>
  </si>
  <si>
    <t>Hardik Pandya</t>
  </si>
  <si>
    <t>Rohit Sharma</t>
  </si>
  <si>
    <t>Tilak Varma</t>
  </si>
  <si>
    <t>Heinrich Klaasen</t>
  </si>
  <si>
    <t>Pat Cummins</t>
  </si>
  <si>
    <t>Abhishek Sharma</t>
  </si>
  <si>
    <t>Travis Head</t>
  </si>
  <si>
    <t>Nitish Kumar Reddy</t>
  </si>
  <si>
    <t>Ruturaj Gaikwad</t>
  </si>
  <si>
    <t>Ravindra Jadeja</t>
  </si>
  <si>
    <t>Matheesha Pathirana</t>
  </si>
  <si>
    <t>Shivam Dube</t>
  </si>
  <si>
    <t>MS Dhoni</t>
  </si>
  <si>
    <t>Axar Patel</t>
  </si>
  <si>
    <t>Kuldeep Yadav</t>
  </si>
  <si>
    <t>Tristan Stubbs</t>
  </si>
  <si>
    <t>Abishek Porel</t>
  </si>
  <si>
    <t>Rinku Singh</t>
  </si>
  <si>
    <t>Varun Chakravarthy</t>
  </si>
  <si>
    <t>Sunil Narine</t>
  </si>
  <si>
    <t>Andre Russell</t>
  </si>
  <si>
    <t>Harshit Rana</t>
  </si>
  <si>
    <t>Ramandeep Singh</t>
  </si>
  <si>
    <t>Sanju Samson</t>
  </si>
  <si>
    <t>Yashasvi Jaiswal</t>
  </si>
  <si>
    <t>Riyan Parag</t>
  </si>
  <si>
    <t>Dhruv Jurel</t>
  </si>
  <si>
    <t>Shimron Hetmyer</t>
  </si>
  <si>
    <t>Sandeep Sharma</t>
  </si>
  <si>
    <t>Rashid Khan</t>
  </si>
  <si>
    <t xml:space="preserve">Afghanistan </t>
  </si>
  <si>
    <t>Shubman Gill</t>
  </si>
  <si>
    <t>Sai Sudharsan</t>
  </si>
  <si>
    <t>Rahul Tewatia</t>
  </si>
  <si>
    <t>M Shahrukh Khan</t>
  </si>
  <si>
    <t>Nicholas Pooran</t>
  </si>
  <si>
    <t>Ravi Bishnoi</t>
  </si>
  <si>
    <t>Mayank Yadav</t>
  </si>
  <si>
    <t>Mohsin Khan</t>
  </si>
  <si>
    <t>Ayush Badoni</t>
  </si>
  <si>
    <t>Shashank Singh</t>
  </si>
  <si>
    <t>Prabhsimran Singh</t>
  </si>
  <si>
    <t>Mohammed Shami</t>
  </si>
  <si>
    <t>Mohammed Siraj</t>
  </si>
  <si>
    <t>Jake Fraser-McGurk</t>
  </si>
  <si>
    <t>Ravichandran Ashwin</t>
  </si>
  <si>
    <t>Quinton de Kock</t>
  </si>
  <si>
    <t>Khaleel Ahmed</t>
  </si>
  <si>
    <t>T Natarajan</t>
  </si>
  <si>
    <t>Rasikh Salam</t>
  </si>
  <si>
    <t>Vijaykumar Vyshak</t>
  </si>
  <si>
    <t>Kumar Kartikeya</t>
  </si>
  <si>
    <t>Faf du Plessis</t>
  </si>
  <si>
    <t>AM Ghazanfar</t>
  </si>
  <si>
    <t>Swastik Chikara</t>
  </si>
  <si>
    <t>Arshad Khan</t>
  </si>
  <si>
    <t>Kunal Singh Rathore</t>
  </si>
  <si>
    <t>Gurnoor Brar</t>
  </si>
  <si>
    <t>Manimaran Siddharth</t>
  </si>
  <si>
    <t>Shahbaz Ahmed</t>
  </si>
  <si>
    <t>Sai Kishore</t>
  </si>
  <si>
    <t>Harnoor Singh</t>
  </si>
  <si>
    <t>C Andre Siddarth</t>
  </si>
  <si>
    <t>Yudhvir Singh</t>
  </si>
  <si>
    <t>Praveen Dubey</t>
  </si>
  <si>
    <t>Krishnan Shrijith</t>
  </si>
  <si>
    <t>Raj Bawa</t>
  </si>
  <si>
    <t>Manvanth Kumar</t>
  </si>
  <si>
    <t>Lungi Ngidi</t>
  </si>
  <si>
    <t>Satyanarayana Raju</t>
  </si>
  <si>
    <t>Bevon Jacobs</t>
  </si>
  <si>
    <t>Jofra Archer</t>
  </si>
  <si>
    <t>C/U</t>
  </si>
  <si>
    <t>Age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</si>
</sst>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" xr16:uid="{9FF48D45-01EF-4E5A-B0D4-6D2B99CAB8A0}" autoFormatId="16" applyNumberFormats="0" applyBorderFormats="0" applyFontFormats="0" applyPatternFormats="0" applyAlignmentFormats="0" applyWidthHeightFormats="0">
  <queryTableRefresh nextId="31">
    <queryTableFields count="13">
      <queryTableField id="6" name="full name" tableColumnId="6"/>
      <queryTableField id="7" name="Country" tableColumnId="7"/>
      <queryTableField id="8" name="State Association" tableColumnId="8"/>
      <queryTableField id="29" dataBound="0" tableColumnId="1"/>
      <queryTableField id="10" name="Age" tableColumnId="10"/>
      <queryTableField id="30" dataBound="0" tableColumnId="3"/>
      <queryTableField id="19" name="2024 Team" tableColumnId="19"/>
      <queryTableField id="21" name="C/U/A" tableColumnId="21"/>
      <queryTableField id="24" name="sold players.Team" tableColumnId="24"/>
      <queryTableField id="25" name="sold players.Type" tableColumnId="25"/>
      <queryTableField id="26" name="sold players.Base" tableColumnId="26"/>
      <queryTableField id="27" name="sold players.Sold" tableColumnId="27"/>
      <queryTableField id="28" name="sold players.Category" tableColumnId="28"/>
    </queryTableFields>
    <queryTableDeletedFields count="17">
      <deletedField name="List Sr.No."/>
      <deletedField name="Set No."/>
      <deletedField name="2025 Set"/>
      <deletedField name="First Name"/>
      <deletedField name="Surname"/>
      <deletedField name="Batting Skills"/>
      <deletedField name="Test caps"/>
      <deletedField name="ODI caps"/>
      <deletedField name="T20 caps"/>
      <deletedField name="IPL caps"/>
      <deletedField name="Specialism"/>
      <deletedField name="Previous IPLTeam(s)"/>
      <deletedField name="2024 IPL"/>
      <deletedField name="DOB"/>
      <deletedField name="sold players.Players"/>
      <deletedField name="Bowling Skills"/>
      <deletedField name="Reserve Price Rs Lakh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E96531-6ABE-4FBD-BA88-B50591429C01}" name="Merge3" displayName="Merge3" ref="A1:M228" tableType="queryTable" totalsRowShown="0">
  <autoFilter ref="A1:M228" xr:uid="{8FE96531-6ABE-4FBD-BA88-B50591429C01}"/>
  <tableColumns count="13">
    <tableColumn id="6" xr3:uid="{DF9AC968-EDA7-4434-8CB3-540EB3A59D96}" uniqueName="6" name="full name" queryTableFieldId="6" dataDxfId="9"/>
    <tableColumn id="7" xr3:uid="{BB122275-D8C0-471D-A6D2-E134307AFD78}" uniqueName="7" name="Country" queryTableFieldId="7" dataDxfId="8"/>
    <tableColumn id="8" xr3:uid="{18CD10CD-8A18-4C5F-9C95-9762E818AAC8}" uniqueName="8" name="State Association" queryTableFieldId="8" dataDxfId="7"/>
    <tableColumn id="1" xr3:uid="{2A8A7F01-03F9-48B7-9CC9-B09AC4683FE5}" uniqueName="1" name="National/International" queryTableFieldId="29" dataDxfId="6">
      <calculatedColumnFormula>IF(Merge3[[#This Row],[State Association]]="International", "International","National")</calculatedColumnFormula>
    </tableColumn>
    <tableColumn id="10" xr3:uid="{26589FDB-3BED-4742-BAA4-50D07642AC37}" uniqueName="10" name="Age" queryTableFieldId="10"/>
    <tableColumn id="3" xr3:uid="{FC09CD38-10F4-4A10-8B7C-4EF8B720C861}" uniqueName="3" name="Age Group" queryTableFieldId="30" dataDxfId="0">
      <calculatedColumnFormula array="1">_xlfn.IFS(
E2&lt;20,"Below 20",
E2&lt;25,"20-25",
E2&lt;30,"25-30",
E2&lt;35,"30-35",
E2&gt;=35,"Above 35"
)</calculatedColumnFormula>
    </tableColumn>
    <tableColumn id="19" xr3:uid="{B6E99F7E-40D2-4939-B4EB-FD261044350F}" uniqueName="19" name="2024 Team" queryTableFieldId="19" dataDxfId="5"/>
    <tableColumn id="21" xr3:uid="{39F06EB4-C22A-4B0D-91B4-270B0CC36411}" uniqueName="21" name="C/U" queryTableFieldId="21" dataDxfId="4"/>
    <tableColumn id="24" xr3:uid="{727A00BD-2CD7-4144-81FA-6593CC912C3F}" uniqueName="24" name="Team" queryTableFieldId="24" dataDxfId="3"/>
    <tableColumn id="25" xr3:uid="{E0A6BCA1-6CF6-4BC1-8269-E7938FE06222}" uniqueName="25" name="Type" queryTableFieldId="25" dataDxfId="2"/>
    <tableColumn id="26" xr3:uid="{466ABB4F-4907-4682-B6FF-919B85000478}" uniqueName="26" name="Base" queryTableFieldId="26"/>
    <tableColumn id="27" xr3:uid="{58030E68-6590-4FAB-AE17-A0DEC2C39D92}" uniqueName="27" name="Sold" queryTableFieldId="27"/>
    <tableColumn id="28" xr3:uid="{BA649828-B214-48F1-A236-3FEE9B42B966}" uniqueName="28" name="Category" queryTableFieldId="28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0536B-C58D-43CD-A05A-CE0E202DFF4B}">
  <dimension ref="A1:M228"/>
  <sheetViews>
    <sheetView tabSelected="1" workbookViewId="0">
      <selection activeCell="F1" sqref="F1"/>
    </sheetView>
  </sheetViews>
  <sheetFormatPr defaultRowHeight="15" x14ac:dyDescent="0.25"/>
  <cols>
    <col min="1" max="1" width="23.28515625" bestFit="1" customWidth="1"/>
    <col min="2" max="2" width="12.42578125" bestFit="1" customWidth="1"/>
    <col min="3" max="3" width="16.28515625" bestFit="1" customWidth="1"/>
    <col min="4" max="4" width="21.140625" bestFit="1" customWidth="1"/>
    <col min="5" max="5" width="4.140625" bestFit="1" customWidth="1"/>
    <col min="6" max="6" width="10" bestFit="1" customWidth="1"/>
    <col min="7" max="7" width="17.5703125" bestFit="1" customWidth="1"/>
    <col min="8" max="8" width="10" bestFit="1" customWidth="1"/>
    <col min="9" max="9" width="5.85546875" bestFit="1" customWidth="1"/>
    <col min="10" max="10" width="6.140625" bestFit="1" customWidth="1"/>
    <col min="13" max="13" width="9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295</v>
      </c>
      <c r="G1" t="s">
        <v>5</v>
      </c>
      <c r="H1" t="s">
        <v>294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x14ac:dyDescent="0.25">
      <c r="A2" t="s">
        <v>11</v>
      </c>
      <c r="B2" t="s">
        <v>12</v>
      </c>
      <c r="C2" t="s">
        <v>13</v>
      </c>
      <c r="D2" t="str">
        <f>IF(Merge3[[#This Row],[State Association]]="International", "International","National")</f>
        <v>International</v>
      </c>
      <c r="E2">
        <v>34</v>
      </c>
      <c r="F2" t="str" cm="1">
        <f t="array" ref="F2">_xlfn.IFS(
E2&lt;20,"Below 20",
E2&lt;25,"20-25",
E2&lt;30,"25-30",
E2&lt;35,"30-35",
E2&gt;=35,"Above 35"
)</f>
        <v>30-35</v>
      </c>
      <c r="G2" t="s">
        <v>14</v>
      </c>
      <c r="H2" t="s">
        <v>15</v>
      </c>
      <c r="I2" t="s">
        <v>16</v>
      </c>
      <c r="J2" t="s">
        <v>17</v>
      </c>
      <c r="K2">
        <v>2</v>
      </c>
      <c r="L2">
        <v>15.75</v>
      </c>
      <c r="M2" t="s">
        <v>18</v>
      </c>
    </row>
    <row r="3" spans="1:13" x14ac:dyDescent="0.25">
      <c r="A3" t="s">
        <v>19</v>
      </c>
      <c r="B3" t="s">
        <v>20</v>
      </c>
      <c r="C3" t="s">
        <v>21</v>
      </c>
      <c r="D3" t="str">
        <f>IF(Merge3[[#This Row],[State Association]]="International", "International","National")</f>
        <v>National</v>
      </c>
      <c r="E3">
        <v>30</v>
      </c>
      <c r="F3" t="str" cm="1">
        <f t="array" ref="F3">_xlfn.IFS(
E3&lt;20,"Below 20",
E3&lt;25,"20-25",
E3&lt;30,"25-30",
E3&lt;35,"30-35",
E3&gt;=35,"Above 35"
)</f>
        <v>30-35</v>
      </c>
      <c r="G3" t="s">
        <v>22</v>
      </c>
      <c r="H3" t="s">
        <v>15</v>
      </c>
      <c r="I3" t="s">
        <v>23</v>
      </c>
      <c r="J3" t="s">
        <v>17</v>
      </c>
      <c r="K3">
        <v>2</v>
      </c>
      <c r="L3">
        <v>26.75</v>
      </c>
      <c r="M3" t="s">
        <v>18</v>
      </c>
    </row>
    <row r="4" spans="1:13" x14ac:dyDescent="0.25">
      <c r="A4" t="s">
        <v>24</v>
      </c>
      <c r="B4" t="s">
        <v>20</v>
      </c>
      <c r="C4" t="s">
        <v>25</v>
      </c>
      <c r="D4" t="str">
        <f>IF(Merge3[[#This Row],[State Association]]="International", "International","National")</f>
        <v>National</v>
      </c>
      <c r="E4">
        <v>27</v>
      </c>
      <c r="F4" t="str" cm="1">
        <f t="array" ref="F4">_xlfn.IFS(
E4&lt;20,"Below 20",
E4&lt;25,"20-25",
E4&lt;30,"25-30",
E4&lt;35,"30-35",
E4&gt;=35,"Above 35"
)</f>
        <v>25-30</v>
      </c>
      <c r="G4" t="s">
        <v>26</v>
      </c>
      <c r="H4" t="s">
        <v>15</v>
      </c>
      <c r="I4" t="s">
        <v>27</v>
      </c>
      <c r="J4" t="s">
        <v>17</v>
      </c>
      <c r="K4">
        <v>2</v>
      </c>
      <c r="L4">
        <v>27</v>
      </c>
      <c r="M4" t="s">
        <v>18</v>
      </c>
    </row>
    <row r="5" spans="1:13" x14ac:dyDescent="0.25">
      <c r="A5" t="s">
        <v>28</v>
      </c>
      <c r="B5" t="s">
        <v>29</v>
      </c>
      <c r="C5" t="s">
        <v>13</v>
      </c>
      <c r="D5" t="str">
        <f>IF(Merge3[[#This Row],[State Association]]="International", "International","National")</f>
        <v>International</v>
      </c>
      <c r="E5">
        <v>29</v>
      </c>
      <c r="F5" t="str" cm="1">
        <f t="array" ref="F5">_xlfn.IFS(
E5&lt;20,"Below 20",
E5&lt;25,"20-25",
E5&lt;30,"25-30",
E5&lt;35,"30-35",
E5&gt;=35,"Above 35"
)</f>
        <v>25-30</v>
      </c>
      <c r="G5" t="s">
        <v>23</v>
      </c>
      <c r="H5" t="s">
        <v>15</v>
      </c>
      <c r="I5" t="s">
        <v>16</v>
      </c>
      <c r="J5" t="s">
        <v>30</v>
      </c>
      <c r="K5">
        <v>2</v>
      </c>
      <c r="L5">
        <v>10.75</v>
      </c>
      <c r="M5" t="s">
        <v>18</v>
      </c>
    </row>
    <row r="6" spans="1:13" x14ac:dyDescent="0.25">
      <c r="A6" t="s">
        <v>31</v>
      </c>
      <c r="B6" t="s">
        <v>20</v>
      </c>
      <c r="C6" t="s">
        <v>32</v>
      </c>
      <c r="D6" t="str">
        <f>IF(Merge3[[#This Row],[State Association]]="International", "International","National")</f>
        <v>National</v>
      </c>
      <c r="E6">
        <v>26</v>
      </c>
      <c r="F6" t="str" cm="1">
        <f t="array" ref="F6">_xlfn.IFS(
E6&lt;20,"Below 20",
E6&lt;25,"20-25",
E6&lt;30,"25-30",
E6&lt;35,"30-35",
E6&gt;=35,"Above 35"
)</f>
        <v>25-30</v>
      </c>
      <c r="G6" t="s">
        <v>23</v>
      </c>
      <c r="H6" t="s">
        <v>15</v>
      </c>
      <c r="I6" t="s">
        <v>23</v>
      </c>
      <c r="J6" t="s">
        <v>30</v>
      </c>
      <c r="K6">
        <v>2</v>
      </c>
      <c r="L6">
        <v>18</v>
      </c>
      <c r="M6" t="s">
        <v>18</v>
      </c>
    </row>
    <row r="7" spans="1:13" x14ac:dyDescent="0.25">
      <c r="A7" t="s">
        <v>33</v>
      </c>
      <c r="B7" t="s">
        <v>34</v>
      </c>
      <c r="C7" t="s">
        <v>13</v>
      </c>
      <c r="D7" t="str">
        <f>IF(Merge3[[#This Row],[State Association]]="International", "International","National")</f>
        <v>International</v>
      </c>
      <c r="E7">
        <v>35</v>
      </c>
      <c r="F7" t="str" cm="1">
        <f t="array" ref="F7">_xlfn.IFS(
E7&lt;20,"Below 20",
E7&lt;25,"20-25",
E7&lt;30,"25-30",
E7&lt;35,"30-35",
E7&gt;=35,"Above 35"
)</f>
        <v>Above 35</v>
      </c>
      <c r="G7" t="s">
        <v>22</v>
      </c>
      <c r="H7" t="s">
        <v>15</v>
      </c>
      <c r="I7" t="s">
        <v>26</v>
      </c>
      <c r="J7" t="s">
        <v>30</v>
      </c>
      <c r="K7">
        <v>2</v>
      </c>
      <c r="L7">
        <v>11.75</v>
      </c>
      <c r="M7" t="s">
        <v>18</v>
      </c>
    </row>
    <row r="8" spans="1:13" x14ac:dyDescent="0.25">
      <c r="A8" t="s">
        <v>35</v>
      </c>
      <c r="B8" t="s">
        <v>20</v>
      </c>
      <c r="C8" t="s">
        <v>36</v>
      </c>
      <c r="D8" t="str">
        <f>IF(Merge3[[#This Row],[State Association]]="International", "International","National")</f>
        <v>National</v>
      </c>
      <c r="E8">
        <v>34</v>
      </c>
      <c r="F8" t="str" cm="1">
        <f t="array" ref="F8">_xlfn.IFS(
E8&lt;20,"Below 20",
E8&lt;25,"20-25",
E8&lt;30,"25-30",
E8&lt;35,"30-35",
E8&gt;=35,"Above 35"
)</f>
        <v>30-35</v>
      </c>
      <c r="G8" t="s">
        <v>14</v>
      </c>
      <c r="H8" t="s">
        <v>15</v>
      </c>
      <c r="I8" t="s">
        <v>23</v>
      </c>
      <c r="J8" t="s">
        <v>30</v>
      </c>
      <c r="K8">
        <v>2</v>
      </c>
      <c r="L8">
        <v>18</v>
      </c>
      <c r="M8" t="s">
        <v>18</v>
      </c>
    </row>
    <row r="9" spans="1:13" x14ac:dyDescent="0.25">
      <c r="A9" t="s">
        <v>37</v>
      </c>
      <c r="B9" t="s">
        <v>12</v>
      </c>
      <c r="C9" t="s">
        <v>13</v>
      </c>
      <c r="D9" t="str">
        <f>IF(Merge3[[#This Row],[State Association]]="International", "International","National")</f>
        <v>International</v>
      </c>
      <c r="E9">
        <v>31</v>
      </c>
      <c r="F9" t="str" cm="1">
        <f t="array" ref="F9">_xlfn.IFS(
E9&lt;20,"Below 20",
E9&lt;25,"20-25",
E9&lt;30,"25-30",
E9&lt;35,"30-35",
E9&gt;=35,"Above 35"
)</f>
        <v>30-35</v>
      </c>
      <c r="G9" t="s">
        <v>23</v>
      </c>
      <c r="H9" t="s">
        <v>15</v>
      </c>
      <c r="I9" t="s">
        <v>38</v>
      </c>
      <c r="J9" t="s">
        <v>39</v>
      </c>
      <c r="K9">
        <v>2</v>
      </c>
      <c r="L9">
        <v>8.75</v>
      </c>
      <c r="M9" t="s">
        <v>18</v>
      </c>
    </row>
    <row r="10" spans="1:13" x14ac:dyDescent="0.25">
      <c r="A10" t="s">
        <v>40</v>
      </c>
      <c r="B10" t="s">
        <v>29</v>
      </c>
      <c r="C10" t="s">
        <v>13</v>
      </c>
      <c r="D10" t="str">
        <f>IF(Merge3[[#This Row],[State Association]]="International", "International","National")</f>
        <v>International</v>
      </c>
      <c r="E10">
        <v>35</v>
      </c>
      <c r="F10" t="str" cm="1">
        <f t="array" ref="F10">_xlfn.IFS(
E10&lt;20,"Below 20",
E10&lt;25,"20-25",
E10&lt;30,"25-30",
E10&lt;35,"30-35",
E10&gt;=35,"Above 35"
)</f>
        <v>Above 35</v>
      </c>
      <c r="G10" t="s">
        <v>16</v>
      </c>
      <c r="H10" t="s">
        <v>15</v>
      </c>
      <c r="I10" t="s">
        <v>27</v>
      </c>
      <c r="J10" t="s">
        <v>17</v>
      </c>
      <c r="K10">
        <v>1.5</v>
      </c>
      <c r="L10">
        <v>7.5</v>
      </c>
      <c r="M10" t="s">
        <v>18</v>
      </c>
    </row>
    <row r="11" spans="1:13" x14ac:dyDescent="0.25">
      <c r="A11" t="s">
        <v>41</v>
      </c>
      <c r="B11" t="s">
        <v>20</v>
      </c>
      <c r="C11" t="s">
        <v>42</v>
      </c>
      <c r="D11" t="str">
        <f>IF(Merge3[[#This Row],[State Association]]="International", "International","National")</f>
        <v>National</v>
      </c>
      <c r="E11">
        <v>32</v>
      </c>
      <c r="F11" t="str" cm="1">
        <f t="array" ref="F11">_xlfn.IFS(
E11&lt;20,"Below 20",
E11&lt;25,"20-25",
E11&lt;30,"25-30",
E11&lt;35,"30-35",
E11&gt;=35,"Above 35"
)</f>
        <v>30-35</v>
      </c>
      <c r="G11" t="s">
        <v>27</v>
      </c>
      <c r="H11" t="s">
        <v>15</v>
      </c>
      <c r="I11" t="s">
        <v>26</v>
      </c>
      <c r="J11" t="s">
        <v>17</v>
      </c>
      <c r="K11">
        <v>2</v>
      </c>
      <c r="L11">
        <v>14</v>
      </c>
      <c r="M11" t="s">
        <v>18</v>
      </c>
    </row>
    <row r="12" spans="1:13" x14ac:dyDescent="0.25">
      <c r="A12" t="s">
        <v>43</v>
      </c>
      <c r="B12" t="s">
        <v>12</v>
      </c>
      <c r="C12" t="s">
        <v>13</v>
      </c>
      <c r="D12" t="str">
        <f>IF(Merge3[[#This Row],[State Association]]="International", "International","National")</f>
        <v>International</v>
      </c>
      <c r="E12">
        <v>26</v>
      </c>
      <c r="F12" t="str" cm="1">
        <f t="array" ref="F12">_xlfn.IFS(
E12&lt;20,"Below 20",
E12&lt;25,"20-25",
E12&lt;30,"25-30",
E12&lt;35,"30-35",
E12&gt;=35,"Above 35"
)</f>
        <v>25-30</v>
      </c>
      <c r="G12" t="s">
        <v>26</v>
      </c>
      <c r="H12" t="s">
        <v>15</v>
      </c>
      <c r="I12" t="s">
        <v>26</v>
      </c>
      <c r="J12" t="s">
        <v>17</v>
      </c>
      <c r="K12">
        <v>2</v>
      </c>
      <c r="L12">
        <v>6.25</v>
      </c>
      <c r="M12" t="s">
        <v>18</v>
      </c>
    </row>
    <row r="13" spans="1:13" x14ac:dyDescent="0.25">
      <c r="A13" t="s">
        <v>44</v>
      </c>
      <c r="B13" t="s">
        <v>45</v>
      </c>
      <c r="C13" t="s">
        <v>13</v>
      </c>
      <c r="D13" t="str">
        <f>IF(Merge3[[#This Row],[State Association]]="International", "International","National")</f>
        <v>International</v>
      </c>
      <c r="E13">
        <v>33</v>
      </c>
      <c r="F13" t="str" cm="1">
        <f t="array" ref="F13">_xlfn.IFS(
E13&lt;20,"Below 20",
E13&lt;25,"20-25",
E13&lt;30,"25-30",
E13&lt;35,"30-35",
E13&gt;=35,"Above 35"
)</f>
        <v>30-35</v>
      </c>
      <c r="G13" t="s">
        <v>46</v>
      </c>
      <c r="H13" t="s">
        <v>15</v>
      </c>
      <c r="I13" t="s">
        <v>46</v>
      </c>
      <c r="J13" t="s">
        <v>17</v>
      </c>
      <c r="K13">
        <v>2</v>
      </c>
      <c r="L13">
        <v>6.25</v>
      </c>
      <c r="M13" t="s">
        <v>18</v>
      </c>
    </row>
    <row r="14" spans="1:13" x14ac:dyDescent="0.25">
      <c r="A14" t="s">
        <v>47</v>
      </c>
      <c r="B14" t="s">
        <v>29</v>
      </c>
      <c r="C14" t="s">
        <v>13</v>
      </c>
      <c r="D14" t="str">
        <f>IF(Merge3[[#This Row],[State Association]]="International", "International","National")</f>
        <v>International</v>
      </c>
      <c r="E14">
        <v>30</v>
      </c>
      <c r="F14" t="str" cm="1">
        <f t="array" ref="F14">_xlfn.IFS(
E14&lt;20,"Below 20",
E14&lt;25,"20-25",
E14&lt;30,"25-30",
E14&lt;35,"30-35",
E14&gt;=35,"Above 35"
)</f>
        <v>30-35</v>
      </c>
      <c r="G14" t="s">
        <v>48</v>
      </c>
      <c r="H14" t="s">
        <v>15</v>
      </c>
      <c r="I14" t="s">
        <v>27</v>
      </c>
      <c r="J14" t="s">
        <v>17</v>
      </c>
      <c r="K14">
        <v>2</v>
      </c>
      <c r="L14">
        <v>2</v>
      </c>
      <c r="M14" t="s">
        <v>18</v>
      </c>
    </row>
    <row r="15" spans="1:13" x14ac:dyDescent="0.25">
      <c r="A15" t="s">
        <v>49</v>
      </c>
      <c r="B15" t="s">
        <v>20</v>
      </c>
      <c r="C15" t="s">
        <v>42</v>
      </c>
      <c r="D15" t="str">
        <f>IF(Merge3[[#This Row],[State Association]]="International", "International","National")</f>
        <v>National</v>
      </c>
      <c r="E15">
        <v>24</v>
      </c>
      <c r="F15" t="str" cm="1">
        <f t="array" ref="F15">_xlfn.IFS(
E15&lt;20,"Below 20",
E15&lt;25,"20-25",
E15&lt;30,"25-30",
E15&lt;35,"30-35",
E15&gt;=35,"Above 35"
)</f>
        <v>20-25</v>
      </c>
      <c r="G15" t="s">
        <v>27</v>
      </c>
      <c r="H15" t="s">
        <v>15</v>
      </c>
      <c r="I15" t="s">
        <v>38</v>
      </c>
      <c r="J15" t="s">
        <v>17</v>
      </c>
      <c r="K15">
        <v>2</v>
      </c>
      <c r="L15">
        <v>2</v>
      </c>
      <c r="M15" t="s">
        <v>18</v>
      </c>
    </row>
    <row r="16" spans="1:13" x14ac:dyDescent="0.25">
      <c r="A16" t="s">
        <v>50</v>
      </c>
      <c r="B16" t="s">
        <v>20</v>
      </c>
      <c r="C16" t="s">
        <v>51</v>
      </c>
      <c r="D16" t="str">
        <f>IF(Merge3[[#This Row],[State Association]]="International", "International","National")</f>
        <v>National</v>
      </c>
      <c r="E16">
        <v>34</v>
      </c>
      <c r="F16" t="str" cm="1">
        <f t="array" ref="F16">_xlfn.IFS(
E16&lt;20,"Below 20",
E16&lt;25,"20-25",
E16&lt;30,"25-30",
E16&lt;35,"30-35",
E16&gt;=35,"Above 35"
)</f>
        <v>30-35</v>
      </c>
      <c r="G16" t="s">
        <v>48</v>
      </c>
      <c r="H16" t="s">
        <v>15</v>
      </c>
      <c r="I16" t="s">
        <v>46</v>
      </c>
      <c r="J16" t="s">
        <v>17</v>
      </c>
      <c r="K16">
        <v>0.75</v>
      </c>
      <c r="L16">
        <v>3.4</v>
      </c>
      <c r="M16" t="s">
        <v>18</v>
      </c>
    </row>
    <row r="17" spans="1:13" x14ac:dyDescent="0.25">
      <c r="A17" t="s">
        <v>52</v>
      </c>
      <c r="B17" t="s">
        <v>20</v>
      </c>
      <c r="C17" t="s">
        <v>53</v>
      </c>
      <c r="D17" t="str">
        <f>IF(Merge3[[#This Row],[State Association]]="International", "International","National")</f>
        <v>National</v>
      </c>
      <c r="E17">
        <v>30</v>
      </c>
      <c r="F17" t="str" cm="1">
        <f t="array" ref="F17">_xlfn.IFS(
E17&lt;20,"Below 20",
E17&lt;25,"20-25",
E17&lt;30,"25-30",
E17&lt;35,"30-35",
E17&gt;=35,"Above 35"
)</f>
        <v>30-35</v>
      </c>
      <c r="G17" t="s">
        <v>22</v>
      </c>
      <c r="H17" t="s">
        <v>15</v>
      </c>
      <c r="I17" t="s">
        <v>22</v>
      </c>
      <c r="J17" t="s">
        <v>39</v>
      </c>
      <c r="K17">
        <v>2</v>
      </c>
      <c r="L17">
        <v>23.75</v>
      </c>
      <c r="M17" t="s">
        <v>18</v>
      </c>
    </row>
    <row r="18" spans="1:13" x14ac:dyDescent="0.25">
      <c r="A18" t="s">
        <v>54</v>
      </c>
      <c r="B18" t="s">
        <v>34</v>
      </c>
      <c r="C18" t="s">
        <v>13</v>
      </c>
      <c r="D18" t="str">
        <f>IF(Merge3[[#This Row],[State Association]]="International", "International","National")</f>
        <v>International</v>
      </c>
      <c r="E18">
        <v>33</v>
      </c>
      <c r="F18" t="str" cm="1">
        <f t="array" ref="F18">_xlfn.IFS(
E18&lt;20,"Below 20",
E18&lt;25,"20-25",
E18&lt;30,"25-30",
E18&lt;35,"30-35",
E18&gt;=35,"Above 35"
)</f>
        <v>30-35</v>
      </c>
      <c r="G18" t="s">
        <v>26</v>
      </c>
      <c r="H18" t="s">
        <v>15</v>
      </c>
      <c r="I18" t="s">
        <v>27</v>
      </c>
      <c r="J18" t="s">
        <v>39</v>
      </c>
      <c r="K18">
        <v>2</v>
      </c>
      <c r="L18">
        <v>3.4</v>
      </c>
      <c r="M18" t="s">
        <v>18</v>
      </c>
    </row>
    <row r="19" spans="1:13" x14ac:dyDescent="0.25">
      <c r="A19" t="s">
        <v>55</v>
      </c>
      <c r="B19" t="s">
        <v>34</v>
      </c>
      <c r="C19" t="s">
        <v>13</v>
      </c>
      <c r="D19" t="str">
        <f>IF(Merge3[[#This Row],[State Association]]="International", "International","National")</f>
        <v>International</v>
      </c>
      <c r="E19">
        <v>36</v>
      </c>
      <c r="F19" t="str" cm="1">
        <f t="array" ref="F19">_xlfn.IFS(
E19&lt;20,"Below 20",
E19&lt;25,"20-25",
E19&lt;30,"25-30",
E19&lt;35,"30-35",
E19&gt;=35,"Above 35"
)</f>
        <v>Above 35</v>
      </c>
      <c r="G19" t="s">
        <v>38</v>
      </c>
      <c r="H19" t="s">
        <v>15</v>
      </c>
      <c r="I19" t="s">
        <v>23</v>
      </c>
      <c r="J19" t="s">
        <v>39</v>
      </c>
      <c r="K19">
        <v>2</v>
      </c>
      <c r="L19">
        <v>4.2</v>
      </c>
      <c r="M19" t="s">
        <v>18</v>
      </c>
    </row>
    <row r="20" spans="1:13" x14ac:dyDescent="0.25">
      <c r="A20" t="s">
        <v>56</v>
      </c>
      <c r="B20" t="s">
        <v>20</v>
      </c>
      <c r="C20" t="s">
        <v>36</v>
      </c>
      <c r="D20" t="str">
        <f>IF(Merge3[[#This Row],[State Association]]="International", "International","National")</f>
        <v>National</v>
      </c>
      <c r="E20">
        <v>34</v>
      </c>
      <c r="F20" t="str" cm="1">
        <f t="array" ref="F20">_xlfn.IFS(
E20&lt;20,"Below 20",
E20&lt;25,"20-25",
E20&lt;30,"25-30",
E20&lt;35,"30-35",
E20&gt;=35,"Above 35"
)</f>
        <v>30-35</v>
      </c>
      <c r="G20" t="s">
        <v>23</v>
      </c>
      <c r="H20" t="s">
        <v>15</v>
      </c>
      <c r="I20" t="s">
        <v>48</v>
      </c>
      <c r="J20" t="s">
        <v>39</v>
      </c>
      <c r="K20">
        <v>2</v>
      </c>
      <c r="L20">
        <v>8</v>
      </c>
      <c r="M20" t="s">
        <v>18</v>
      </c>
    </row>
    <row r="21" spans="1:13" x14ac:dyDescent="0.25">
      <c r="A21" t="s">
        <v>57</v>
      </c>
      <c r="B21" t="s">
        <v>45</v>
      </c>
      <c r="C21" t="s">
        <v>13</v>
      </c>
      <c r="D21" t="str">
        <f>IF(Merge3[[#This Row],[State Association]]="International", "International","National")</f>
        <v>International</v>
      </c>
      <c r="E21">
        <v>25</v>
      </c>
      <c r="F21" t="str" cm="1">
        <f t="array" ref="F21">_xlfn.IFS(
E21&lt;20,"Below 20",
E21&lt;25,"20-25",
E21&lt;30,"25-30",
E21&lt;35,"30-35",
E21&gt;=35,"Above 35"
)</f>
        <v>25-30</v>
      </c>
      <c r="G21" t="s">
        <v>46</v>
      </c>
      <c r="H21" t="s">
        <v>15</v>
      </c>
      <c r="I21" t="s">
        <v>46</v>
      </c>
      <c r="J21" t="s">
        <v>39</v>
      </c>
      <c r="K21">
        <v>1.5</v>
      </c>
      <c r="L21">
        <v>4</v>
      </c>
      <c r="M21" t="s">
        <v>18</v>
      </c>
    </row>
    <row r="22" spans="1:13" x14ac:dyDescent="0.25">
      <c r="A22" t="s">
        <v>58</v>
      </c>
      <c r="B22" t="s">
        <v>34</v>
      </c>
      <c r="C22" t="s">
        <v>13</v>
      </c>
      <c r="D22" t="str">
        <f>IF(Merge3[[#This Row],[State Association]]="International", "International","National")</f>
        <v>International</v>
      </c>
      <c r="E22">
        <v>35</v>
      </c>
      <c r="F22" t="str" cm="1">
        <f t="array" ref="F22">_xlfn.IFS(
E22&lt;20,"Below 20",
E22&lt;25,"20-25",
E22&lt;30,"25-30",
E22&lt;35,"30-35",
E22&gt;=35,"Above 35"
)</f>
        <v>Above 35</v>
      </c>
      <c r="G22" t="s">
        <v>27</v>
      </c>
      <c r="H22" t="s">
        <v>15</v>
      </c>
      <c r="I22" t="s">
        <v>23</v>
      </c>
      <c r="J22" t="s">
        <v>39</v>
      </c>
      <c r="K22">
        <v>2</v>
      </c>
      <c r="L22">
        <v>11</v>
      </c>
      <c r="M22" t="s">
        <v>18</v>
      </c>
    </row>
    <row r="23" spans="1:13" x14ac:dyDescent="0.25">
      <c r="A23" t="s">
        <v>59</v>
      </c>
      <c r="B23" t="s">
        <v>60</v>
      </c>
      <c r="C23" t="s">
        <v>13</v>
      </c>
      <c r="D23" t="str">
        <f>IF(Merge3[[#This Row],[State Association]]="International", "International","National")</f>
        <v>International</v>
      </c>
      <c r="E23">
        <v>23</v>
      </c>
      <c r="F23" t="str" cm="1">
        <f t="array" ref="F23">_xlfn.IFS(
E23&lt;20,"Below 20",
E23&lt;25,"20-25",
E23&lt;30,"25-30",
E23&lt;35,"30-35",
E23&gt;=35,"Above 35"
)</f>
        <v>20-25</v>
      </c>
      <c r="G23" t="s">
        <v>22</v>
      </c>
      <c r="H23" t="s">
        <v>15</v>
      </c>
      <c r="I23" t="s">
        <v>22</v>
      </c>
      <c r="J23" t="s">
        <v>17</v>
      </c>
      <c r="K23">
        <v>2</v>
      </c>
      <c r="L23">
        <v>2</v>
      </c>
      <c r="M23" t="s">
        <v>18</v>
      </c>
    </row>
    <row r="24" spans="1:13" x14ac:dyDescent="0.25">
      <c r="A24" t="s">
        <v>61</v>
      </c>
      <c r="B24" t="s">
        <v>20</v>
      </c>
      <c r="C24" t="s">
        <v>62</v>
      </c>
      <c r="D24" t="str">
        <f>IF(Merge3[[#This Row],[State Association]]="International", "International","National")</f>
        <v>National</v>
      </c>
      <c r="E24">
        <v>26</v>
      </c>
      <c r="F24" t="str" cm="1">
        <f t="array" ref="F24">_xlfn.IFS(
E24&lt;20,"Below 20",
E24&lt;25,"20-25",
E24&lt;30,"25-30",
E24&lt;35,"30-35",
E24&gt;=35,"Above 35"
)</f>
        <v>25-30</v>
      </c>
      <c r="G24" t="s">
        <v>63</v>
      </c>
      <c r="H24" t="s">
        <v>15</v>
      </c>
      <c r="I24" t="s">
        <v>48</v>
      </c>
      <c r="J24" t="s">
        <v>17</v>
      </c>
      <c r="K24">
        <v>2</v>
      </c>
      <c r="L24">
        <v>11.25</v>
      </c>
      <c r="M24" t="s">
        <v>18</v>
      </c>
    </row>
    <row r="25" spans="1:13" x14ac:dyDescent="0.25">
      <c r="A25" t="s">
        <v>64</v>
      </c>
      <c r="B25" t="s">
        <v>12</v>
      </c>
      <c r="C25" t="s">
        <v>13</v>
      </c>
      <c r="D25" t="str">
        <f>IF(Merge3[[#This Row],[State Association]]="International", "International","National")</f>
        <v>International</v>
      </c>
      <c r="E25">
        <v>28</v>
      </c>
      <c r="F25" t="str" cm="1">
        <f t="array" ref="F25">_xlfn.IFS(
E25&lt;20,"Below 20",
E25&lt;25,"20-25",
E25&lt;30,"25-30",
E25&lt;35,"30-35",
E25&gt;=35,"Above 35"
)</f>
        <v>25-30</v>
      </c>
      <c r="G25" t="s">
        <v>22</v>
      </c>
      <c r="H25" t="s">
        <v>15</v>
      </c>
      <c r="I25" t="s">
        <v>38</v>
      </c>
      <c r="J25" t="s">
        <v>17</v>
      </c>
      <c r="K25">
        <v>2</v>
      </c>
      <c r="L25">
        <v>11.5</v>
      </c>
      <c r="M25" t="s">
        <v>18</v>
      </c>
    </row>
    <row r="26" spans="1:13" x14ac:dyDescent="0.25">
      <c r="A26" t="s">
        <v>65</v>
      </c>
      <c r="B26" t="s">
        <v>20</v>
      </c>
      <c r="C26" t="s">
        <v>66</v>
      </c>
      <c r="D26" t="str">
        <f>IF(Merge3[[#This Row],[State Association]]="International", "International","National")</f>
        <v>National</v>
      </c>
      <c r="E26">
        <v>31</v>
      </c>
      <c r="F26" t="str" cm="1">
        <f t="array" ref="F26">_xlfn.IFS(
E26&lt;20,"Below 20",
E26&lt;25,"20-25",
E26&lt;30,"25-30",
E26&lt;35,"30-35",
E26&gt;=35,"Above 35"
)</f>
        <v>30-35</v>
      </c>
      <c r="G26" t="s">
        <v>23</v>
      </c>
      <c r="H26" t="s">
        <v>15</v>
      </c>
      <c r="I26" t="s">
        <v>38</v>
      </c>
      <c r="J26" t="s">
        <v>17</v>
      </c>
      <c r="K26">
        <v>1</v>
      </c>
      <c r="L26">
        <v>11</v>
      </c>
      <c r="M26" t="s">
        <v>18</v>
      </c>
    </row>
    <row r="27" spans="1:13" x14ac:dyDescent="0.25">
      <c r="A27" t="s">
        <v>67</v>
      </c>
      <c r="B27" t="s">
        <v>45</v>
      </c>
      <c r="C27" t="s">
        <v>13</v>
      </c>
      <c r="D27" t="str">
        <f>IF(Merge3[[#This Row],[State Association]]="International", "International","National")</f>
        <v>International</v>
      </c>
      <c r="E27">
        <v>35</v>
      </c>
      <c r="F27" t="str" cm="1">
        <f t="array" ref="F27">_xlfn.IFS(
E27&lt;20,"Below 20",
E27&lt;25,"20-25",
E27&lt;30,"25-30",
E27&lt;35,"30-35",
E27&gt;=35,"Above 35"
)</f>
        <v>Above 35</v>
      </c>
      <c r="G27" t="s">
        <v>14</v>
      </c>
      <c r="H27" t="s">
        <v>15</v>
      </c>
      <c r="I27" t="s">
        <v>63</v>
      </c>
      <c r="J27" t="s">
        <v>30</v>
      </c>
      <c r="K27">
        <v>2</v>
      </c>
      <c r="L27">
        <v>12.5</v>
      </c>
      <c r="M27" t="s">
        <v>18</v>
      </c>
    </row>
    <row r="28" spans="1:13" x14ac:dyDescent="0.25">
      <c r="A28" t="s">
        <v>68</v>
      </c>
      <c r="B28" t="s">
        <v>34</v>
      </c>
      <c r="C28" t="s">
        <v>13</v>
      </c>
      <c r="D28" t="str">
        <f>IF(Merge3[[#This Row],[State Association]]="International", "International","National")</f>
        <v>International</v>
      </c>
      <c r="E28">
        <v>34</v>
      </c>
      <c r="F28" t="str" cm="1">
        <f t="array" ref="F28">_xlfn.IFS(
E28&lt;20,"Below 20",
E28&lt;25,"20-25",
E28&lt;30,"25-30",
E28&lt;35,"30-35",
E28&gt;=35,"Above 35"
)</f>
        <v>30-35</v>
      </c>
      <c r="G28" t="s">
        <v>69</v>
      </c>
      <c r="H28" t="s">
        <v>15</v>
      </c>
      <c r="I28" t="s">
        <v>38</v>
      </c>
      <c r="J28" t="s">
        <v>30</v>
      </c>
      <c r="K28">
        <v>2</v>
      </c>
      <c r="L28">
        <v>12.5</v>
      </c>
      <c r="M28" t="s">
        <v>18</v>
      </c>
    </row>
    <row r="29" spans="1:13" x14ac:dyDescent="0.25">
      <c r="A29" t="s">
        <v>70</v>
      </c>
      <c r="B29" t="s">
        <v>20</v>
      </c>
      <c r="C29" t="s">
        <v>53</v>
      </c>
      <c r="D29" t="str">
        <f>IF(Merge3[[#This Row],[State Association]]="International", "International","National")</f>
        <v>National</v>
      </c>
      <c r="E29">
        <v>28</v>
      </c>
      <c r="F29" t="str" cm="1">
        <f t="array" ref="F29">_xlfn.IFS(
E29&lt;20,"Below 20",
E29&lt;25,"20-25",
E29&lt;30,"25-30",
E29&lt;35,"30-35",
E29&gt;=35,"Above 35"
)</f>
        <v>25-30</v>
      </c>
      <c r="G29" t="s">
        <v>14</v>
      </c>
      <c r="H29" t="s">
        <v>15</v>
      </c>
      <c r="I29" t="s">
        <v>27</v>
      </c>
      <c r="J29" t="s">
        <v>30</v>
      </c>
      <c r="K29">
        <v>2</v>
      </c>
      <c r="L29">
        <v>9.75</v>
      </c>
      <c r="M29" t="s">
        <v>18</v>
      </c>
    </row>
    <row r="30" spans="1:13" x14ac:dyDescent="0.25">
      <c r="A30" t="s">
        <v>71</v>
      </c>
      <c r="B30" t="s">
        <v>20</v>
      </c>
      <c r="C30" t="s">
        <v>42</v>
      </c>
      <c r="D30" t="str">
        <f>IF(Merge3[[#This Row],[State Association]]="International", "International","National")</f>
        <v>National</v>
      </c>
      <c r="E30">
        <v>29</v>
      </c>
      <c r="F30" t="str" cm="1">
        <f t="array" ref="F30">_xlfn.IFS(
E30&lt;20,"Below 20",
E30&lt;25,"20-25",
E30&lt;30,"25-30",
E30&lt;35,"30-35",
E30&gt;=35,"Above 35"
)</f>
        <v>25-30</v>
      </c>
      <c r="G30" t="s">
        <v>14</v>
      </c>
      <c r="H30" t="s">
        <v>15</v>
      </c>
      <c r="I30" t="s">
        <v>16</v>
      </c>
      <c r="J30" t="s">
        <v>30</v>
      </c>
      <c r="K30">
        <v>2</v>
      </c>
      <c r="L30">
        <v>9.5</v>
      </c>
      <c r="M30" t="s">
        <v>18</v>
      </c>
    </row>
    <row r="31" spans="1:13" x14ac:dyDescent="0.25">
      <c r="A31" t="s">
        <v>72</v>
      </c>
      <c r="B31" t="s">
        <v>29</v>
      </c>
      <c r="C31" t="s">
        <v>13</v>
      </c>
      <c r="D31" t="str">
        <f>IF(Merge3[[#This Row],[State Association]]="International", "International","National")</f>
        <v>International</v>
      </c>
      <c r="E31">
        <v>31</v>
      </c>
      <c r="F31" t="str" cm="1">
        <f t="array" ref="F31">_xlfn.IFS(
E31&lt;20,"Below 20",
E31&lt;25,"20-25",
E31&lt;30,"25-30",
E31&lt;35,"30-35",
E31&gt;=35,"Above 35"
)</f>
        <v>30-35</v>
      </c>
      <c r="G31" t="s">
        <v>26</v>
      </c>
      <c r="H31" t="s">
        <v>15</v>
      </c>
      <c r="I31" t="s">
        <v>22</v>
      </c>
      <c r="J31" t="s">
        <v>30</v>
      </c>
      <c r="K31">
        <v>2</v>
      </c>
      <c r="L31">
        <v>6.5</v>
      </c>
      <c r="M31" t="s">
        <v>18</v>
      </c>
    </row>
    <row r="32" spans="1:13" x14ac:dyDescent="0.25">
      <c r="A32" t="s">
        <v>73</v>
      </c>
      <c r="B32" t="s">
        <v>60</v>
      </c>
      <c r="C32" t="s">
        <v>13</v>
      </c>
      <c r="D32" t="str">
        <f>IF(Merge3[[#This Row],[State Association]]="International", "International","National")</f>
        <v>International</v>
      </c>
      <c r="E32">
        <v>20</v>
      </c>
      <c r="F32" t="str" cm="1">
        <f t="array" ref="F32">_xlfn.IFS(
E32&lt;20,"Below 20",
E32&lt;25,"20-25",
E32&lt;30,"25-30",
E32&lt;35,"30-35",
E32&gt;=35,"Above 35"
)</f>
        <v>20-25</v>
      </c>
      <c r="G32" t="s">
        <v>16</v>
      </c>
      <c r="H32" t="s">
        <v>15</v>
      </c>
      <c r="I32" t="s">
        <v>46</v>
      </c>
      <c r="J32" t="s">
        <v>30</v>
      </c>
      <c r="K32">
        <v>2</v>
      </c>
      <c r="L32">
        <v>10</v>
      </c>
      <c r="M32" t="s">
        <v>18</v>
      </c>
    </row>
    <row r="33" spans="1:13" x14ac:dyDescent="0.25">
      <c r="A33" t="s">
        <v>74</v>
      </c>
      <c r="B33" t="s">
        <v>20</v>
      </c>
      <c r="C33" t="s">
        <v>75</v>
      </c>
      <c r="D33" t="str">
        <f>IF(Merge3[[#This Row],[State Association]]="International", "International","National")</f>
        <v>National</v>
      </c>
      <c r="E33">
        <v>25</v>
      </c>
      <c r="F33" t="str" cm="1">
        <f t="array" ref="F33">_xlfn.IFS(
E33&lt;20,"Below 20",
E33&lt;25,"20-25",
E33&lt;30,"25-30",
E33&lt;35,"30-35",
E33&gt;=35,"Above 35"
)</f>
        <v>25-30</v>
      </c>
      <c r="G33" t="s">
        <v>23</v>
      </c>
      <c r="H33" t="s">
        <v>15</v>
      </c>
      <c r="I33" t="s">
        <v>48</v>
      </c>
      <c r="J33" t="s">
        <v>30</v>
      </c>
      <c r="K33">
        <v>1</v>
      </c>
      <c r="L33">
        <v>3.2</v>
      </c>
      <c r="M33" t="s">
        <v>18</v>
      </c>
    </row>
    <row r="34" spans="1:13" x14ac:dyDescent="0.25">
      <c r="A34" t="s">
        <v>76</v>
      </c>
      <c r="B34" t="s">
        <v>77</v>
      </c>
      <c r="C34" t="s">
        <v>13</v>
      </c>
      <c r="D34" t="str">
        <f>IF(Merge3[[#This Row],[State Association]]="International", "International","National")</f>
        <v>International</v>
      </c>
      <c r="E34">
        <v>27</v>
      </c>
      <c r="F34" t="str" cm="1">
        <f t="array" ref="F34">_xlfn.IFS(
E34&lt;20,"Below 20",
E34&lt;25,"20-25",
E34&lt;30,"25-30",
E34&lt;35,"30-35",
E34&gt;=35,"Above 35"
)</f>
        <v>25-30</v>
      </c>
      <c r="G34" t="s">
        <v>48</v>
      </c>
      <c r="H34" t="s">
        <v>15</v>
      </c>
      <c r="I34" t="s">
        <v>14</v>
      </c>
      <c r="J34" t="s">
        <v>30</v>
      </c>
      <c r="K34">
        <v>2</v>
      </c>
      <c r="L34">
        <v>5.25</v>
      </c>
      <c r="M34" t="s">
        <v>18</v>
      </c>
    </row>
    <row r="35" spans="1:13" x14ac:dyDescent="0.25">
      <c r="A35" t="s">
        <v>78</v>
      </c>
      <c r="B35" t="s">
        <v>77</v>
      </c>
      <c r="C35" t="s">
        <v>13</v>
      </c>
      <c r="D35" t="str">
        <f>IF(Merge3[[#This Row],[State Association]]="International", "International","National")</f>
        <v>International</v>
      </c>
      <c r="E35">
        <v>24</v>
      </c>
      <c r="F35" t="str" cm="1">
        <f t="array" ref="F35">_xlfn.IFS(
E35&lt;20,"Below 20",
E35&lt;25,"20-25",
E35&lt;30,"25-30",
E35&lt;35,"30-35",
E35&gt;=35,"Above 35"
)</f>
        <v>20-25</v>
      </c>
      <c r="G35" t="s">
        <v>46</v>
      </c>
      <c r="H35" t="s">
        <v>15</v>
      </c>
      <c r="I35" t="s">
        <v>14</v>
      </c>
      <c r="J35" t="s">
        <v>30</v>
      </c>
      <c r="K35">
        <v>2</v>
      </c>
      <c r="L35">
        <v>4.4000000000000004</v>
      </c>
      <c r="M35" t="s">
        <v>18</v>
      </c>
    </row>
    <row r="36" spans="1:13" x14ac:dyDescent="0.25">
      <c r="A36" t="s">
        <v>79</v>
      </c>
      <c r="B36" t="s">
        <v>34</v>
      </c>
      <c r="C36" t="s">
        <v>13</v>
      </c>
      <c r="D36" t="str">
        <f>IF(Merge3[[#This Row],[State Association]]="International", "International","National")</f>
        <v>International</v>
      </c>
      <c r="E36">
        <v>32</v>
      </c>
      <c r="F36" t="str" cm="1">
        <f t="array" ref="F36">_xlfn.IFS(
E36&lt;20,"Below 20",
E36&lt;25,"20-25",
E36&lt;30,"25-30",
E36&lt;35,"30-35",
E36&gt;=35,"Above 35"
)</f>
        <v>30-35</v>
      </c>
      <c r="G36" t="s">
        <v>14</v>
      </c>
      <c r="H36" t="s">
        <v>15</v>
      </c>
      <c r="I36" t="s">
        <v>48</v>
      </c>
      <c r="J36" t="s">
        <v>30</v>
      </c>
      <c r="K36">
        <v>2</v>
      </c>
      <c r="L36">
        <v>2.4</v>
      </c>
      <c r="M36" t="s">
        <v>18</v>
      </c>
    </row>
    <row r="37" spans="1:13" x14ac:dyDescent="0.25">
      <c r="A37" t="s">
        <v>80</v>
      </c>
      <c r="B37" t="s">
        <v>20</v>
      </c>
      <c r="C37" t="s">
        <v>42</v>
      </c>
      <c r="D37" t="str">
        <f>IF(Merge3[[#This Row],[State Association]]="International", "International","National")</f>
        <v>National</v>
      </c>
      <c r="E37">
        <v>30</v>
      </c>
      <c r="F37" t="str" cm="1">
        <f t="array" ref="F37">_xlfn.IFS(
E37&lt;20,"Below 20",
E37&lt;25,"20-25",
E37&lt;30,"25-30",
E37&lt;35,"30-35",
E37&gt;=35,"Above 35"
)</f>
        <v>30-35</v>
      </c>
      <c r="G37" t="s">
        <v>16</v>
      </c>
      <c r="H37" t="s">
        <v>81</v>
      </c>
      <c r="I37" t="s">
        <v>48</v>
      </c>
      <c r="J37" t="s">
        <v>17</v>
      </c>
      <c r="K37">
        <v>0.3</v>
      </c>
      <c r="L37">
        <v>3.2</v>
      </c>
      <c r="M37" t="s">
        <v>18</v>
      </c>
    </row>
    <row r="38" spans="1:13" x14ac:dyDescent="0.25">
      <c r="A38" t="s">
        <v>82</v>
      </c>
      <c r="B38" t="s">
        <v>20</v>
      </c>
      <c r="C38" t="s">
        <v>66</v>
      </c>
      <c r="D38" t="str">
        <f>IF(Merge3[[#This Row],[State Association]]="International", "International","National")</f>
        <v>National</v>
      </c>
      <c r="E38">
        <v>33</v>
      </c>
      <c r="F38" t="str" cm="1">
        <f t="array" ref="F38">_xlfn.IFS(
E38&lt;20,"Below 20",
E38&lt;25,"20-25",
E38&lt;30,"25-30",
E38&lt;35,"30-35",
E38&gt;=35,"Above 35"
)</f>
        <v>30-35</v>
      </c>
      <c r="G38" t="s">
        <v>69</v>
      </c>
      <c r="H38" t="s">
        <v>81</v>
      </c>
      <c r="I38" t="s">
        <v>26</v>
      </c>
      <c r="J38" t="s">
        <v>17</v>
      </c>
      <c r="K38">
        <v>0.3</v>
      </c>
      <c r="L38">
        <v>0.5</v>
      </c>
      <c r="M38" t="s">
        <v>18</v>
      </c>
    </row>
    <row r="39" spans="1:13" x14ac:dyDescent="0.25">
      <c r="A39" t="s">
        <v>83</v>
      </c>
      <c r="B39" t="s">
        <v>20</v>
      </c>
      <c r="C39" t="s">
        <v>21</v>
      </c>
      <c r="D39" t="str">
        <f>IF(Merge3[[#This Row],[State Association]]="International", "International","National")</f>
        <v>National</v>
      </c>
      <c r="E39">
        <v>20</v>
      </c>
      <c r="F39" t="str" cm="1">
        <f t="array" ref="F39">_xlfn.IFS(
E39&lt;20,"Below 20",
E39&lt;25,"20-25",
E39&lt;30,"25-30",
E39&lt;35,"30-35",
E39&gt;=35,"Above 35"
)</f>
        <v>20-25</v>
      </c>
      <c r="G39" t="s">
        <v>22</v>
      </c>
      <c r="H39" t="s">
        <v>81</v>
      </c>
      <c r="I39" t="s">
        <v>22</v>
      </c>
      <c r="J39" t="s">
        <v>17</v>
      </c>
      <c r="K39">
        <v>0.3</v>
      </c>
      <c r="L39">
        <v>3</v>
      </c>
      <c r="M39" t="s">
        <v>18</v>
      </c>
    </row>
    <row r="40" spans="1:13" x14ac:dyDescent="0.25">
      <c r="A40" t="s">
        <v>84</v>
      </c>
      <c r="B40" t="s">
        <v>20</v>
      </c>
      <c r="C40" t="s">
        <v>66</v>
      </c>
      <c r="D40" t="str">
        <f>IF(Merge3[[#This Row],[State Association]]="International", "International","National")</f>
        <v>National</v>
      </c>
      <c r="E40">
        <v>24</v>
      </c>
      <c r="F40" t="str" cm="1">
        <f t="array" ref="F40">_xlfn.IFS(
E40&lt;20,"Below 20",
E40&lt;25,"20-25",
E40&lt;30,"25-30",
E40&lt;35,"30-35",
E40&gt;=35,"Above 35"
)</f>
        <v>20-25</v>
      </c>
      <c r="G40" t="s">
        <v>23</v>
      </c>
      <c r="H40" t="s">
        <v>81</v>
      </c>
      <c r="I40" t="s">
        <v>48</v>
      </c>
      <c r="J40" t="s">
        <v>17</v>
      </c>
      <c r="K40">
        <v>0.3</v>
      </c>
      <c r="L40">
        <v>0.3</v>
      </c>
      <c r="M40" t="s">
        <v>18</v>
      </c>
    </row>
    <row r="41" spans="1:13" x14ac:dyDescent="0.25">
      <c r="A41" t="s">
        <v>85</v>
      </c>
      <c r="B41" t="s">
        <v>20</v>
      </c>
      <c r="C41" t="s">
        <v>32</v>
      </c>
      <c r="D41" t="str">
        <f>IF(Merge3[[#This Row],[State Association]]="International", "International","National")</f>
        <v>National</v>
      </c>
      <c r="E41">
        <v>24</v>
      </c>
      <c r="F41" t="str" cm="1">
        <f t="array" ref="F41">_xlfn.IFS(
E41&lt;20,"Below 20",
E41&lt;25,"20-25",
E41&lt;30,"25-30",
E41&lt;35,"30-35",
E41&gt;=35,"Above 35"
)</f>
        <v>20-25</v>
      </c>
      <c r="G41" t="s">
        <v>63</v>
      </c>
      <c r="H41" t="s">
        <v>81</v>
      </c>
      <c r="I41" t="s">
        <v>23</v>
      </c>
      <c r="J41" t="s">
        <v>17</v>
      </c>
      <c r="K41">
        <v>0.3</v>
      </c>
      <c r="L41">
        <v>4.2</v>
      </c>
      <c r="M41" t="s">
        <v>18</v>
      </c>
    </row>
    <row r="42" spans="1:13" x14ac:dyDescent="0.25">
      <c r="A42" t="s">
        <v>86</v>
      </c>
      <c r="B42" t="s">
        <v>20</v>
      </c>
      <c r="C42" t="s">
        <v>32</v>
      </c>
      <c r="D42" t="str">
        <f>IF(Merge3[[#This Row],[State Association]]="International", "International","National")</f>
        <v>National</v>
      </c>
      <c r="E42">
        <v>29</v>
      </c>
      <c r="F42" t="str" cm="1">
        <f t="array" ref="F42">_xlfn.IFS(
E42&lt;20,"Below 20",
E42&lt;25,"20-25",
E42&lt;30,"25-30",
E42&lt;35,"30-35",
E42&gt;=35,"Above 35"
)</f>
        <v>25-30</v>
      </c>
      <c r="G42" t="s">
        <v>23</v>
      </c>
      <c r="H42" t="s">
        <v>81</v>
      </c>
      <c r="I42" t="s">
        <v>23</v>
      </c>
      <c r="J42" t="s">
        <v>39</v>
      </c>
      <c r="K42">
        <v>0.3</v>
      </c>
      <c r="L42">
        <v>1.5</v>
      </c>
      <c r="M42" t="s">
        <v>18</v>
      </c>
    </row>
    <row r="43" spans="1:13" x14ac:dyDescent="0.25">
      <c r="A43" t="s">
        <v>87</v>
      </c>
      <c r="B43" t="s">
        <v>20</v>
      </c>
      <c r="C43" t="s">
        <v>32</v>
      </c>
      <c r="D43" t="str">
        <f>IF(Merge3[[#This Row],[State Association]]="International", "International","National")</f>
        <v>National</v>
      </c>
      <c r="E43">
        <v>25</v>
      </c>
      <c r="F43" t="str" cm="1">
        <f t="array" ref="F43">_xlfn.IFS(
E43&lt;20,"Below 20",
E43&lt;25,"20-25",
E43&lt;30,"25-30",
E43&lt;35,"30-35",
E43&gt;=35,"Above 35"
)</f>
        <v>25-30</v>
      </c>
      <c r="G43" t="s">
        <v>63</v>
      </c>
      <c r="H43" t="s">
        <v>81</v>
      </c>
      <c r="I43" t="s">
        <v>63</v>
      </c>
      <c r="J43" t="s">
        <v>39</v>
      </c>
      <c r="K43">
        <v>0.3</v>
      </c>
      <c r="L43">
        <v>5.25</v>
      </c>
      <c r="M43" t="s">
        <v>18</v>
      </c>
    </row>
    <row r="44" spans="1:13" x14ac:dyDescent="0.25">
      <c r="A44" t="s">
        <v>88</v>
      </c>
      <c r="B44" t="s">
        <v>20</v>
      </c>
      <c r="C44" t="s">
        <v>75</v>
      </c>
      <c r="D44" t="str">
        <f>IF(Merge3[[#This Row],[State Association]]="International", "International","National")</f>
        <v>National</v>
      </c>
      <c r="E44">
        <v>25</v>
      </c>
      <c r="F44" t="str" cm="1">
        <f t="array" ref="F44">_xlfn.IFS(
E44&lt;20,"Below 20",
E44&lt;25,"20-25",
E44&lt;30,"25-30",
E44&lt;35,"30-35",
E44&gt;=35,"Above 35"
)</f>
        <v>25-30</v>
      </c>
      <c r="G44" t="s">
        <v>38</v>
      </c>
      <c r="H44" t="s">
        <v>81</v>
      </c>
      <c r="I44" t="s">
        <v>16</v>
      </c>
      <c r="J44" t="s">
        <v>39</v>
      </c>
      <c r="K44">
        <v>0.5</v>
      </c>
      <c r="L44">
        <v>1.7</v>
      </c>
      <c r="M44" t="s">
        <v>18</v>
      </c>
    </row>
    <row r="45" spans="1:13" x14ac:dyDescent="0.25">
      <c r="A45" t="s">
        <v>89</v>
      </c>
      <c r="B45" t="s">
        <v>20</v>
      </c>
      <c r="C45" t="s">
        <v>90</v>
      </c>
      <c r="D45" t="str">
        <f>IF(Merge3[[#This Row],[State Association]]="International", "International","National")</f>
        <v>National</v>
      </c>
      <c r="E45">
        <v>21</v>
      </c>
      <c r="F45" t="str" cm="1">
        <f t="array" ref="F45">_xlfn.IFS(
E45&lt;20,"Below 20",
E45&lt;25,"20-25",
E45&lt;30,"25-30",
E45&lt;35,"30-35",
E45&gt;=35,"Above 35"
)</f>
        <v>20-25</v>
      </c>
      <c r="G45" t="s">
        <v>46</v>
      </c>
      <c r="H45" t="s">
        <v>81</v>
      </c>
      <c r="I45" t="s">
        <v>26</v>
      </c>
      <c r="J45" t="s">
        <v>39</v>
      </c>
      <c r="K45">
        <v>0.3</v>
      </c>
      <c r="L45">
        <v>0.95</v>
      </c>
      <c r="M45" t="s">
        <v>18</v>
      </c>
    </row>
    <row r="46" spans="1:13" x14ac:dyDescent="0.25">
      <c r="A46" t="s">
        <v>91</v>
      </c>
      <c r="B46" t="s">
        <v>20</v>
      </c>
      <c r="C46" t="s">
        <v>92</v>
      </c>
      <c r="D46" t="str">
        <f>IF(Merge3[[#This Row],[State Association]]="International", "International","National")</f>
        <v>National</v>
      </c>
      <c r="E46">
        <v>23</v>
      </c>
      <c r="F46" t="str" cm="1">
        <f t="array" ref="F46">_xlfn.IFS(
E46&lt;20,"Below 20",
E46&lt;25,"20-25",
E46&lt;30,"25-30",
E46&lt;35,"30-35",
E46&gt;=35,"Above 35"
)</f>
        <v>20-25</v>
      </c>
      <c r="G46" t="s">
        <v>48</v>
      </c>
      <c r="H46" t="s">
        <v>81</v>
      </c>
      <c r="I46" t="s">
        <v>27</v>
      </c>
      <c r="J46" t="s">
        <v>39</v>
      </c>
      <c r="K46">
        <v>0.3</v>
      </c>
      <c r="L46">
        <v>4.2</v>
      </c>
      <c r="M46" t="s">
        <v>18</v>
      </c>
    </row>
    <row r="47" spans="1:13" x14ac:dyDescent="0.25">
      <c r="A47" t="s">
        <v>93</v>
      </c>
      <c r="B47" t="s">
        <v>20</v>
      </c>
      <c r="C47" t="s">
        <v>94</v>
      </c>
      <c r="D47" t="str">
        <f>IF(Merge3[[#This Row],[State Association]]="International", "International","National")</f>
        <v>National</v>
      </c>
      <c r="E47">
        <v>34</v>
      </c>
      <c r="F47" t="str" cm="1">
        <f t="array" ref="F47">_xlfn.IFS(
E47&lt;20,"Below 20",
E47&lt;25,"20-25",
E47&lt;30,"25-30",
E47&lt;35,"30-35",
E47&gt;=35,"Above 35"
)</f>
        <v>30-35</v>
      </c>
      <c r="G47" t="s">
        <v>16</v>
      </c>
      <c r="H47" t="s">
        <v>81</v>
      </c>
      <c r="I47" t="s">
        <v>46</v>
      </c>
      <c r="J47" t="s">
        <v>39</v>
      </c>
      <c r="K47">
        <v>0.3</v>
      </c>
      <c r="L47">
        <v>1.2</v>
      </c>
      <c r="M47" t="s">
        <v>18</v>
      </c>
    </row>
    <row r="48" spans="1:13" x14ac:dyDescent="0.25">
      <c r="A48" t="s">
        <v>95</v>
      </c>
      <c r="B48" t="s">
        <v>20</v>
      </c>
      <c r="C48" t="s">
        <v>96</v>
      </c>
      <c r="D48" t="str">
        <f>IF(Merge3[[#This Row],[State Association]]="International", "International","National")</f>
        <v>National</v>
      </c>
      <c r="E48">
        <v>26</v>
      </c>
      <c r="F48" t="str" cm="1">
        <f t="array" ref="F48">_xlfn.IFS(
E48&lt;20,"Below 20",
E48&lt;25,"20-25",
E48&lt;30,"25-30",
E48&lt;35,"30-35",
E48&gt;=35,"Above 35"
)</f>
        <v>25-30</v>
      </c>
      <c r="G48" t="s">
        <v>23</v>
      </c>
      <c r="H48" t="s">
        <v>81</v>
      </c>
      <c r="I48" t="s">
        <v>26</v>
      </c>
      <c r="J48" t="s">
        <v>39</v>
      </c>
      <c r="K48">
        <v>0.3</v>
      </c>
      <c r="L48">
        <v>3.8</v>
      </c>
      <c r="M48" t="s">
        <v>18</v>
      </c>
    </row>
    <row r="49" spans="1:13" x14ac:dyDescent="0.25">
      <c r="A49" t="s">
        <v>97</v>
      </c>
      <c r="B49" t="s">
        <v>20</v>
      </c>
      <c r="C49" t="s">
        <v>36</v>
      </c>
      <c r="D49" t="str">
        <f>IF(Merge3[[#This Row],[State Association]]="International", "International","National")</f>
        <v>National</v>
      </c>
      <c r="E49">
        <v>20</v>
      </c>
      <c r="F49" t="str" cm="1">
        <f t="array" ref="F49">_xlfn.IFS(
E49&lt;20,"Below 20",
E49&lt;25,"20-25",
E49&lt;30,"25-30",
E49&lt;35,"30-35",
E49&gt;=35,"Above 35"
)</f>
        <v>20-25</v>
      </c>
      <c r="G49" t="s">
        <v>46</v>
      </c>
      <c r="H49" t="s">
        <v>81</v>
      </c>
      <c r="I49" t="s">
        <v>16</v>
      </c>
      <c r="J49" t="s">
        <v>39</v>
      </c>
      <c r="K49">
        <v>0.3</v>
      </c>
      <c r="L49">
        <v>0.3</v>
      </c>
      <c r="M49" t="s">
        <v>18</v>
      </c>
    </row>
    <row r="50" spans="1:13" x14ac:dyDescent="0.25">
      <c r="A50" t="s">
        <v>98</v>
      </c>
      <c r="B50" t="s">
        <v>20</v>
      </c>
      <c r="C50" t="s">
        <v>90</v>
      </c>
      <c r="D50" t="str">
        <f>IF(Merge3[[#This Row],[State Association]]="International", "International","National")</f>
        <v>National</v>
      </c>
      <c r="E50">
        <v>23</v>
      </c>
      <c r="F50" t="str" cm="1">
        <f t="array" ref="F50">_xlfn.IFS(
E50&lt;20,"Below 20",
E50&lt;25,"20-25",
E50&lt;30,"25-30",
E50&lt;35,"30-35",
E50&gt;=35,"Above 35"
)</f>
        <v>20-25</v>
      </c>
      <c r="G50" t="s">
        <v>69</v>
      </c>
      <c r="H50" t="s">
        <v>81</v>
      </c>
      <c r="I50" t="s">
        <v>27</v>
      </c>
      <c r="J50" t="s">
        <v>17</v>
      </c>
      <c r="K50">
        <v>0.3</v>
      </c>
      <c r="L50">
        <v>0.3</v>
      </c>
      <c r="M50" t="s">
        <v>18</v>
      </c>
    </row>
    <row r="51" spans="1:13" x14ac:dyDescent="0.25">
      <c r="A51" t="s">
        <v>99</v>
      </c>
      <c r="B51" t="s">
        <v>20</v>
      </c>
      <c r="C51" t="s">
        <v>62</v>
      </c>
      <c r="D51" t="str">
        <f>IF(Merge3[[#This Row],[State Association]]="International", "International","National")</f>
        <v>National</v>
      </c>
      <c r="E51">
        <v>20</v>
      </c>
      <c r="F51" t="str" cm="1">
        <f t="array" ref="F51">_xlfn.IFS(
E51&lt;20,"Below 20",
E51&lt;25,"20-25",
E51&lt;30,"25-30",
E51&lt;35,"30-35",
E51&gt;=35,"Above 35"
)</f>
        <v>20-25</v>
      </c>
      <c r="G51" t="s">
        <v>16</v>
      </c>
      <c r="H51" t="s">
        <v>81</v>
      </c>
      <c r="I51" t="s">
        <v>16</v>
      </c>
      <c r="J51" t="s">
        <v>17</v>
      </c>
      <c r="K51">
        <v>0.3</v>
      </c>
      <c r="L51">
        <v>0.65</v>
      </c>
      <c r="M51" t="s">
        <v>18</v>
      </c>
    </row>
    <row r="52" spans="1:13" x14ac:dyDescent="0.25">
      <c r="A52" t="s">
        <v>100</v>
      </c>
      <c r="B52" t="s">
        <v>20</v>
      </c>
      <c r="C52" t="s">
        <v>62</v>
      </c>
      <c r="D52" t="str">
        <f>IF(Merge3[[#This Row],[State Association]]="International", "International","National")</f>
        <v>National</v>
      </c>
      <c r="E52">
        <v>22</v>
      </c>
      <c r="F52" t="str" cm="1">
        <f t="array" ref="F52">_xlfn.IFS(
E52&lt;20,"Below 20",
E52&lt;25,"20-25",
E52&lt;30,"25-30",
E52&lt;35,"30-35",
E52&gt;=35,"Above 35"
)</f>
        <v>20-25</v>
      </c>
      <c r="G52" t="s">
        <v>16</v>
      </c>
      <c r="H52" t="s">
        <v>81</v>
      </c>
      <c r="I52" t="s">
        <v>63</v>
      </c>
      <c r="J52" t="s">
        <v>17</v>
      </c>
      <c r="K52">
        <v>0.3</v>
      </c>
      <c r="L52">
        <v>0.65</v>
      </c>
      <c r="M52" t="s">
        <v>18</v>
      </c>
    </row>
    <row r="53" spans="1:13" x14ac:dyDescent="0.25">
      <c r="A53" t="s">
        <v>101</v>
      </c>
      <c r="B53" t="s">
        <v>20</v>
      </c>
      <c r="C53" t="s">
        <v>25</v>
      </c>
      <c r="D53" t="str">
        <f>IF(Merge3[[#This Row],[State Association]]="International", "International","National")</f>
        <v>National</v>
      </c>
      <c r="E53">
        <v>25</v>
      </c>
      <c r="F53" t="str" cm="1">
        <f t="array" ref="F53">_xlfn.IFS(
E53&lt;20,"Below 20",
E53&lt;25,"20-25",
E53&lt;30,"25-30",
E53&lt;35,"30-35",
E53&gt;=35,"Above 35"
)</f>
        <v>25-30</v>
      </c>
      <c r="G53" t="s">
        <v>38</v>
      </c>
      <c r="H53" t="s">
        <v>81</v>
      </c>
      <c r="I53" t="s">
        <v>16</v>
      </c>
      <c r="J53" t="s">
        <v>17</v>
      </c>
      <c r="K53">
        <v>0.3</v>
      </c>
      <c r="L53">
        <v>0.3</v>
      </c>
      <c r="M53" t="s">
        <v>18</v>
      </c>
    </row>
    <row r="54" spans="1:13" x14ac:dyDescent="0.25">
      <c r="A54" t="s">
        <v>102</v>
      </c>
      <c r="B54" t="s">
        <v>20</v>
      </c>
      <c r="C54" t="s">
        <v>42</v>
      </c>
      <c r="D54" t="str">
        <f>IF(Merge3[[#This Row],[State Association]]="International", "International","National")</f>
        <v>National</v>
      </c>
      <c r="E54">
        <v>25</v>
      </c>
      <c r="F54" t="str" cm="1">
        <f t="array" ref="F54">_xlfn.IFS(
E54&lt;20,"Below 20",
E54&lt;25,"20-25",
E54&lt;30,"25-30",
E54&lt;35,"30-35",
E54&gt;=35,"Above 35"
)</f>
        <v>25-30</v>
      </c>
      <c r="G54" t="s">
        <v>69</v>
      </c>
      <c r="H54" t="s">
        <v>81</v>
      </c>
      <c r="I54" t="s">
        <v>22</v>
      </c>
      <c r="J54" t="s">
        <v>17</v>
      </c>
      <c r="K54">
        <v>0.3</v>
      </c>
      <c r="L54">
        <v>0.3</v>
      </c>
      <c r="M54" t="s">
        <v>18</v>
      </c>
    </row>
    <row r="55" spans="1:13" x14ac:dyDescent="0.25">
      <c r="A55" t="s">
        <v>103</v>
      </c>
      <c r="B55" t="s">
        <v>20</v>
      </c>
      <c r="C55" t="s">
        <v>104</v>
      </c>
      <c r="D55" t="str">
        <f>IF(Merge3[[#This Row],[State Association]]="International", "International","National")</f>
        <v>National</v>
      </c>
      <c r="E55">
        <v>31</v>
      </c>
      <c r="F55" t="str" cm="1">
        <f t="array" ref="F55">_xlfn.IFS(
E55&lt;20,"Below 20",
E55&lt;25,"20-25",
E55&lt;30,"25-30",
E55&lt;35,"30-35",
E55&gt;=35,"Above 35"
)</f>
        <v>30-35</v>
      </c>
      <c r="G55" t="s">
        <v>63</v>
      </c>
      <c r="H55" t="s">
        <v>81</v>
      </c>
      <c r="I55" t="s">
        <v>23</v>
      </c>
      <c r="J55" t="s">
        <v>17</v>
      </c>
      <c r="K55">
        <v>0.3</v>
      </c>
      <c r="L55">
        <v>0.95</v>
      </c>
      <c r="M55" t="s">
        <v>18</v>
      </c>
    </row>
    <row r="56" spans="1:13" x14ac:dyDescent="0.25">
      <c r="A56" t="s">
        <v>105</v>
      </c>
      <c r="B56" t="s">
        <v>20</v>
      </c>
      <c r="C56" t="s">
        <v>106</v>
      </c>
      <c r="D56" t="str">
        <f>IF(Merge3[[#This Row],[State Association]]="International", "International","National")</f>
        <v>National</v>
      </c>
      <c r="E56">
        <v>27</v>
      </c>
      <c r="F56" t="str" cm="1">
        <f t="array" ref="F56">_xlfn.IFS(
E56&lt;20,"Below 20",
E56&lt;25,"20-25",
E56&lt;30,"25-30",
E56&lt;35,"30-35",
E56&gt;=35,"Above 35"
)</f>
        <v>25-30</v>
      </c>
      <c r="G56" t="s">
        <v>22</v>
      </c>
      <c r="H56" t="s">
        <v>81</v>
      </c>
      <c r="I56" t="s">
        <v>22</v>
      </c>
      <c r="J56" t="s">
        <v>30</v>
      </c>
      <c r="K56">
        <v>0.3</v>
      </c>
      <c r="L56">
        <v>1.8</v>
      </c>
      <c r="M56" t="s">
        <v>18</v>
      </c>
    </row>
    <row r="57" spans="1:13" x14ac:dyDescent="0.25">
      <c r="A57" t="s">
        <v>107</v>
      </c>
      <c r="B57" t="s">
        <v>20</v>
      </c>
      <c r="C57" t="s">
        <v>108</v>
      </c>
      <c r="D57" t="str">
        <f>IF(Merge3[[#This Row],[State Association]]="International", "International","National")</f>
        <v>National</v>
      </c>
      <c r="E57">
        <v>31</v>
      </c>
      <c r="F57" t="str" cm="1">
        <f t="array" ref="F57">_xlfn.IFS(
E57&lt;20,"Below 20",
E57&lt;25,"20-25",
E57&lt;30,"25-30",
E57&lt;35,"30-35",
E57&gt;=35,"Above 35"
)</f>
        <v>30-35</v>
      </c>
      <c r="G57" t="s">
        <v>63</v>
      </c>
      <c r="H57" t="s">
        <v>81</v>
      </c>
      <c r="I57" t="s">
        <v>14</v>
      </c>
      <c r="J57" t="s">
        <v>30</v>
      </c>
      <c r="K57">
        <v>0.3</v>
      </c>
      <c r="L57">
        <v>1.2</v>
      </c>
      <c r="M57" t="s">
        <v>18</v>
      </c>
    </row>
    <row r="58" spans="1:13" x14ac:dyDescent="0.25">
      <c r="A58" t="s">
        <v>109</v>
      </c>
      <c r="B58" t="s">
        <v>20</v>
      </c>
      <c r="C58" t="s">
        <v>36</v>
      </c>
      <c r="D58" t="str">
        <f>IF(Merge3[[#This Row],[State Association]]="International", "International","National")</f>
        <v>National</v>
      </c>
      <c r="E58">
        <v>36</v>
      </c>
      <c r="F58" t="str" cm="1">
        <f t="array" ref="F58">_xlfn.IFS(
E58&lt;20,"Below 20",
E58&lt;25,"20-25",
E58&lt;30,"25-30",
E58&lt;35,"30-35",
E58&gt;=35,"Above 35"
)</f>
        <v>Above 35</v>
      </c>
      <c r="G58" t="s">
        <v>16</v>
      </c>
      <c r="H58" t="s">
        <v>81</v>
      </c>
      <c r="I58" t="s">
        <v>26</v>
      </c>
      <c r="J58" t="s">
        <v>30</v>
      </c>
      <c r="K58">
        <v>0.5</v>
      </c>
      <c r="L58">
        <v>2.2000000000000002</v>
      </c>
      <c r="M58" t="s">
        <v>18</v>
      </c>
    </row>
    <row r="59" spans="1:13" x14ac:dyDescent="0.25">
      <c r="A59" t="s">
        <v>110</v>
      </c>
      <c r="B59" t="s">
        <v>20</v>
      </c>
      <c r="C59" t="s">
        <v>25</v>
      </c>
      <c r="D59" t="str">
        <f>IF(Merge3[[#This Row],[State Association]]="International", "International","National")</f>
        <v>National</v>
      </c>
      <c r="E59">
        <v>27</v>
      </c>
      <c r="F59" t="str" cm="1">
        <f t="array" ref="F59">_xlfn.IFS(
E59&lt;20,"Below 20",
E59&lt;25,"20-25",
E59&lt;30,"25-30",
E59&lt;35,"30-35",
E59&gt;=35,"Above 35"
)</f>
        <v>25-30</v>
      </c>
      <c r="G59" t="s">
        <v>46</v>
      </c>
      <c r="H59" t="s">
        <v>81</v>
      </c>
      <c r="I59" t="s">
        <v>48</v>
      </c>
      <c r="J59" t="s">
        <v>30</v>
      </c>
      <c r="K59">
        <v>0.3</v>
      </c>
      <c r="L59">
        <v>1.5</v>
      </c>
      <c r="M59" t="s">
        <v>18</v>
      </c>
    </row>
    <row r="60" spans="1:13" x14ac:dyDescent="0.25">
      <c r="A60" t="s">
        <v>111</v>
      </c>
      <c r="B60" t="s">
        <v>20</v>
      </c>
      <c r="C60" t="s">
        <v>66</v>
      </c>
      <c r="D60" t="str">
        <f>IF(Merge3[[#This Row],[State Association]]="International", "International","National")</f>
        <v>National</v>
      </c>
      <c r="E60">
        <v>26</v>
      </c>
      <c r="F60" t="str" cm="1">
        <f t="array" ref="F60">_xlfn.IFS(
E60&lt;20,"Below 20",
E60&lt;25,"20-25",
E60&lt;30,"25-30",
E60&lt;35,"30-35",
E60&gt;=35,"Above 35"
)</f>
        <v>25-30</v>
      </c>
      <c r="G60" t="s">
        <v>27</v>
      </c>
      <c r="H60" t="s">
        <v>81</v>
      </c>
      <c r="I60" t="s">
        <v>23</v>
      </c>
      <c r="J60" t="s">
        <v>30</v>
      </c>
      <c r="K60">
        <v>0.4</v>
      </c>
      <c r="L60">
        <v>1.6</v>
      </c>
      <c r="M60" t="s">
        <v>18</v>
      </c>
    </row>
    <row r="61" spans="1:13" x14ac:dyDescent="0.25">
      <c r="A61" t="s">
        <v>112</v>
      </c>
      <c r="B61" t="s">
        <v>20</v>
      </c>
      <c r="C61" t="s">
        <v>42</v>
      </c>
      <c r="D61" t="str">
        <f>IF(Merge3[[#This Row],[State Association]]="International", "International","National")</f>
        <v>National</v>
      </c>
      <c r="E61">
        <v>31</v>
      </c>
      <c r="F61" t="str" cm="1">
        <f t="array" ref="F61">_xlfn.IFS(
E61&lt;20,"Below 20",
E61&lt;25,"20-25",
E61&lt;30,"25-30",
E61&lt;35,"30-35",
E61&gt;=35,"Above 35"
)</f>
        <v>30-35</v>
      </c>
      <c r="G61" t="s">
        <v>63</v>
      </c>
      <c r="H61" t="s">
        <v>81</v>
      </c>
      <c r="I61" t="s">
        <v>46</v>
      </c>
      <c r="J61" t="s">
        <v>30</v>
      </c>
      <c r="K61">
        <v>0.3</v>
      </c>
      <c r="L61">
        <v>0.3</v>
      </c>
      <c r="M61" t="s">
        <v>18</v>
      </c>
    </row>
    <row r="62" spans="1:13" x14ac:dyDescent="0.25">
      <c r="A62" t="s">
        <v>113</v>
      </c>
      <c r="B62" t="s">
        <v>20</v>
      </c>
      <c r="C62" t="s">
        <v>32</v>
      </c>
      <c r="D62" t="str">
        <f>IF(Merge3[[#This Row],[State Association]]="International", "International","National")</f>
        <v>National</v>
      </c>
      <c r="E62">
        <v>27</v>
      </c>
      <c r="F62" t="str" cm="1">
        <f t="array" ref="F62">_xlfn.IFS(
E62&lt;20,"Below 20",
E62&lt;25,"20-25",
E62&lt;30,"25-30",
E62&lt;35,"30-35",
E62&gt;=35,"Above 35"
)</f>
        <v>25-30</v>
      </c>
      <c r="G62" t="s">
        <v>48</v>
      </c>
      <c r="H62" t="s">
        <v>81</v>
      </c>
      <c r="I62" t="s">
        <v>22</v>
      </c>
      <c r="J62" t="s">
        <v>30</v>
      </c>
      <c r="K62">
        <v>0.3</v>
      </c>
      <c r="L62">
        <v>0.3</v>
      </c>
      <c r="M62" t="s">
        <v>18</v>
      </c>
    </row>
    <row r="63" spans="1:13" x14ac:dyDescent="0.25">
      <c r="A63" t="s">
        <v>114</v>
      </c>
      <c r="B63" t="s">
        <v>20</v>
      </c>
      <c r="C63" t="s">
        <v>25</v>
      </c>
      <c r="D63" t="str">
        <f>IF(Merge3[[#This Row],[State Association]]="International", "International","National")</f>
        <v>National</v>
      </c>
      <c r="E63">
        <v>21</v>
      </c>
      <c r="F63" t="str" cm="1">
        <f t="array" ref="F63">_xlfn.IFS(
E63&lt;20,"Below 20",
E63&lt;25,"20-25",
E63&lt;30,"25-30",
E63&lt;35,"30-35",
E63&gt;=35,"Above 35"
)</f>
        <v>20-25</v>
      </c>
      <c r="G63" t="s">
        <v>22</v>
      </c>
      <c r="H63" t="s">
        <v>81</v>
      </c>
      <c r="I63" t="s">
        <v>38</v>
      </c>
      <c r="J63" t="s">
        <v>30</v>
      </c>
      <c r="K63">
        <v>0.3</v>
      </c>
      <c r="L63">
        <v>2.6</v>
      </c>
      <c r="M63" t="s">
        <v>18</v>
      </c>
    </row>
    <row r="64" spans="1:13" x14ac:dyDescent="0.25">
      <c r="A64" t="s">
        <v>115</v>
      </c>
      <c r="B64" t="s">
        <v>20</v>
      </c>
      <c r="C64" t="s">
        <v>96</v>
      </c>
      <c r="D64" t="str">
        <f>IF(Merge3[[#This Row],[State Association]]="International", "International","National")</f>
        <v>National</v>
      </c>
      <c r="E64">
        <v>37</v>
      </c>
      <c r="F64" t="str" cm="1">
        <f t="array" ref="F64">_xlfn.IFS(
E64&lt;20,"Below 20",
E64&lt;25,"20-25",
E64&lt;30,"25-30",
E64&lt;35,"30-35",
E64&gt;=35,"Above 35"
)</f>
        <v>Above 35</v>
      </c>
      <c r="G64" t="s">
        <v>38</v>
      </c>
      <c r="H64" t="s">
        <v>81</v>
      </c>
      <c r="I64" t="s">
        <v>63</v>
      </c>
      <c r="J64" t="s">
        <v>30</v>
      </c>
      <c r="K64">
        <v>0.5</v>
      </c>
      <c r="L64">
        <v>0.5</v>
      </c>
      <c r="M64" t="s">
        <v>18</v>
      </c>
    </row>
    <row r="65" spans="1:13" x14ac:dyDescent="0.25">
      <c r="A65" t="s">
        <v>116</v>
      </c>
      <c r="B65" t="s">
        <v>20</v>
      </c>
      <c r="C65" t="s">
        <v>75</v>
      </c>
      <c r="D65" t="str">
        <f>IF(Merge3[[#This Row],[State Association]]="International", "International","National")</f>
        <v>National</v>
      </c>
      <c r="E65">
        <v>22</v>
      </c>
      <c r="F65" t="str" cm="1">
        <f t="array" ref="F65">_xlfn.IFS(
E65&lt;20,"Below 20",
E65&lt;25,"20-25",
E65&lt;30,"25-30",
E65&lt;35,"30-35",
E65&gt;=35,"Above 35"
)</f>
        <v>20-25</v>
      </c>
      <c r="G65" t="s">
        <v>16</v>
      </c>
      <c r="H65" t="s">
        <v>81</v>
      </c>
      <c r="I65" t="s">
        <v>16</v>
      </c>
      <c r="J65" t="s">
        <v>30</v>
      </c>
      <c r="K65">
        <v>0.3</v>
      </c>
      <c r="L65">
        <v>0.3</v>
      </c>
      <c r="M65" t="s">
        <v>18</v>
      </c>
    </row>
    <row r="66" spans="1:13" x14ac:dyDescent="0.25">
      <c r="A66" t="s">
        <v>117</v>
      </c>
      <c r="B66" t="s">
        <v>45</v>
      </c>
      <c r="C66" t="s">
        <v>13</v>
      </c>
      <c r="D66" t="str">
        <f>IF(Merge3[[#This Row],[State Association]]="International", "International","National")</f>
        <v>International</v>
      </c>
      <c r="E66">
        <v>28</v>
      </c>
      <c r="F66" t="str" cm="1">
        <f t="array" ref="F66">_xlfn.IFS(
E66&lt;20,"Below 20",
E66&lt;25,"20-25",
E66&lt;30,"25-30",
E66&lt;35,"30-35",
E66&gt;=35,"Above 35"
)</f>
        <v>25-30</v>
      </c>
      <c r="G66" t="s">
        <v>48</v>
      </c>
      <c r="H66" t="s">
        <v>15</v>
      </c>
      <c r="I66" t="s">
        <v>16</v>
      </c>
      <c r="J66" t="s">
        <v>17</v>
      </c>
      <c r="K66">
        <v>2</v>
      </c>
      <c r="L66">
        <v>2</v>
      </c>
      <c r="M66" t="s">
        <v>18</v>
      </c>
    </row>
    <row r="67" spans="1:13" x14ac:dyDescent="0.25">
      <c r="A67" t="s">
        <v>118</v>
      </c>
      <c r="B67" t="s">
        <v>119</v>
      </c>
      <c r="C67" t="s">
        <v>13</v>
      </c>
      <c r="D67" t="str">
        <f>IF(Merge3[[#This Row],[State Association]]="International", "International","National")</f>
        <v>International</v>
      </c>
      <c r="E67">
        <v>31</v>
      </c>
      <c r="F67" t="str" cm="1">
        <f t="array" ref="F67">_xlfn.IFS(
E67&lt;20,"Below 20",
E67&lt;25,"20-25",
E67&lt;30,"25-30",
E67&lt;35,"30-35",
E67&gt;=35,"Above 35"
)</f>
        <v>30-35</v>
      </c>
      <c r="G67" t="s">
        <v>14</v>
      </c>
      <c r="H67" t="s">
        <v>15</v>
      </c>
      <c r="I67" t="s">
        <v>22</v>
      </c>
      <c r="J67" t="s">
        <v>17</v>
      </c>
      <c r="K67">
        <v>1.5</v>
      </c>
      <c r="L67">
        <v>1.5</v>
      </c>
      <c r="M67" t="s">
        <v>18</v>
      </c>
    </row>
    <row r="68" spans="1:13" x14ac:dyDescent="0.25">
      <c r="A68" t="s">
        <v>120</v>
      </c>
      <c r="B68" t="s">
        <v>20</v>
      </c>
      <c r="C68" t="s">
        <v>21</v>
      </c>
      <c r="D68" t="str">
        <f>IF(Merge3[[#This Row],[State Association]]="International", "International","National")</f>
        <v>National</v>
      </c>
      <c r="E68">
        <v>36</v>
      </c>
      <c r="F68" t="str" cm="1">
        <f t="array" ref="F68">_xlfn.IFS(
E68&lt;20,"Below 20",
E68&lt;25,"20-25",
E68&lt;30,"25-30",
E68&lt;35,"30-35",
E68&gt;=35,"Above 35"
)</f>
        <v>Above 35</v>
      </c>
      <c r="G68" t="s">
        <v>46</v>
      </c>
      <c r="H68" t="s">
        <v>15</v>
      </c>
      <c r="I68" t="s">
        <v>22</v>
      </c>
      <c r="J68" t="s">
        <v>17</v>
      </c>
      <c r="K68">
        <v>1.5</v>
      </c>
      <c r="L68">
        <v>1.5</v>
      </c>
      <c r="M68" t="s">
        <v>18</v>
      </c>
    </row>
    <row r="69" spans="1:13" x14ac:dyDescent="0.25">
      <c r="A69" t="s">
        <v>121</v>
      </c>
      <c r="B69" t="s">
        <v>12</v>
      </c>
      <c r="C69" t="s">
        <v>13</v>
      </c>
      <c r="D69" t="str">
        <f>IF(Merge3[[#This Row],[State Association]]="International", "International","National")</f>
        <v>International</v>
      </c>
      <c r="E69">
        <v>26</v>
      </c>
      <c r="F69" t="str" cm="1">
        <f t="array" ref="F69">_xlfn.IFS(
E69&lt;20,"Below 20",
E69&lt;25,"20-25",
E69&lt;30,"25-30",
E69&lt;35,"30-35",
E69&gt;=35,"Above 35"
)</f>
        <v>25-30</v>
      </c>
      <c r="G69" t="s">
        <v>23</v>
      </c>
      <c r="H69" t="s">
        <v>15</v>
      </c>
      <c r="I69" t="s">
        <v>46</v>
      </c>
      <c r="J69" t="s">
        <v>39</v>
      </c>
      <c r="K69">
        <v>2</v>
      </c>
      <c r="L69">
        <v>2.4</v>
      </c>
      <c r="M69" t="s">
        <v>18</v>
      </c>
    </row>
    <row r="70" spans="1:13" x14ac:dyDescent="0.25">
      <c r="A70" t="s">
        <v>122</v>
      </c>
      <c r="B70" t="s">
        <v>29</v>
      </c>
      <c r="C70" t="s">
        <v>13</v>
      </c>
      <c r="D70" t="str">
        <f>IF(Merge3[[#This Row],[State Association]]="International", "International","National")</f>
        <v>International</v>
      </c>
      <c r="E70">
        <v>24</v>
      </c>
      <c r="F70" t="str" cm="1">
        <f t="array" ref="F70">_xlfn.IFS(
E70&lt;20,"Below 20",
E70&lt;25,"20-25",
E70&lt;30,"25-30",
E70&lt;35,"30-35",
E70&gt;=35,"Above 35"
)</f>
        <v>20-25</v>
      </c>
      <c r="G70" t="s">
        <v>48</v>
      </c>
      <c r="H70" t="s">
        <v>15</v>
      </c>
      <c r="I70" t="s">
        <v>23</v>
      </c>
      <c r="J70" t="s">
        <v>39</v>
      </c>
      <c r="K70">
        <v>1.25</v>
      </c>
      <c r="L70">
        <v>7</v>
      </c>
      <c r="M70" t="s">
        <v>18</v>
      </c>
    </row>
    <row r="71" spans="1:13" x14ac:dyDescent="0.25">
      <c r="A71" t="s">
        <v>123</v>
      </c>
      <c r="B71" t="s">
        <v>20</v>
      </c>
      <c r="C71" t="s">
        <v>124</v>
      </c>
      <c r="D71" t="str">
        <f>IF(Merge3[[#This Row],[State Association]]="International", "International","National")</f>
        <v>National</v>
      </c>
      <c r="E71">
        <v>34</v>
      </c>
      <c r="F71" t="str" cm="1">
        <f t="array" ref="F71">_xlfn.IFS(
E71&lt;20,"Below 20",
E71&lt;25,"20-25",
E71&lt;30,"25-30",
E71&lt;35,"30-35",
E71&gt;=35,"Above 35"
)</f>
        <v>30-35</v>
      </c>
      <c r="G71" t="s">
        <v>27</v>
      </c>
      <c r="H71" t="s">
        <v>15</v>
      </c>
      <c r="I71" t="s">
        <v>38</v>
      </c>
      <c r="J71" t="s">
        <v>39</v>
      </c>
      <c r="K71">
        <v>2</v>
      </c>
      <c r="L71">
        <v>5.75</v>
      </c>
      <c r="M71" t="s">
        <v>18</v>
      </c>
    </row>
    <row r="72" spans="1:13" x14ac:dyDescent="0.25">
      <c r="A72" t="s">
        <v>125</v>
      </c>
      <c r="B72" t="s">
        <v>20</v>
      </c>
      <c r="C72" t="s">
        <v>90</v>
      </c>
      <c r="D72" t="str">
        <f>IF(Merge3[[#This Row],[State Association]]="International", "International","National")</f>
        <v>National</v>
      </c>
      <c r="E72">
        <v>31</v>
      </c>
      <c r="F72" t="str" cm="1">
        <f t="array" ref="F72">_xlfn.IFS(
E72&lt;20,"Below 20",
E72&lt;25,"20-25",
E72&lt;30,"25-30",
E72&lt;35,"30-35",
E72&gt;=35,"Above 35"
)</f>
        <v>30-35</v>
      </c>
      <c r="G72" t="s">
        <v>22</v>
      </c>
      <c r="H72" t="s">
        <v>15</v>
      </c>
      <c r="I72" t="s">
        <v>14</v>
      </c>
      <c r="J72" t="s">
        <v>39</v>
      </c>
      <c r="K72">
        <v>1.5</v>
      </c>
      <c r="L72">
        <v>4.2</v>
      </c>
      <c r="M72" t="s">
        <v>18</v>
      </c>
    </row>
    <row r="73" spans="1:13" x14ac:dyDescent="0.25">
      <c r="A73" t="s">
        <v>126</v>
      </c>
      <c r="B73" t="s">
        <v>20</v>
      </c>
      <c r="C73" t="s">
        <v>94</v>
      </c>
      <c r="D73" t="str">
        <f>IF(Merge3[[#This Row],[State Association]]="International", "International","National")</f>
        <v>National</v>
      </c>
      <c r="E73">
        <v>25</v>
      </c>
      <c r="F73" t="str" cm="1">
        <f t="array" ref="F73">_xlfn.IFS(
E73&lt;20,"Below 20",
E73&lt;25,"20-25",
E73&lt;30,"25-30",
E73&lt;35,"30-35",
E73&gt;=35,"Above 35"
)</f>
        <v>25-30</v>
      </c>
      <c r="G73" t="s">
        <v>48</v>
      </c>
      <c r="H73" t="s">
        <v>15</v>
      </c>
      <c r="I73" t="s">
        <v>16</v>
      </c>
      <c r="J73" t="s">
        <v>39</v>
      </c>
      <c r="K73">
        <v>2</v>
      </c>
      <c r="L73">
        <v>3.2</v>
      </c>
      <c r="M73" t="s">
        <v>18</v>
      </c>
    </row>
    <row r="74" spans="1:13" x14ac:dyDescent="0.25">
      <c r="A74" t="s">
        <v>127</v>
      </c>
      <c r="B74" t="s">
        <v>29</v>
      </c>
      <c r="C74" t="s">
        <v>13</v>
      </c>
      <c r="D74" t="str">
        <f>IF(Merge3[[#This Row],[State Association]]="International", "International","National")</f>
        <v>International</v>
      </c>
      <c r="E74">
        <v>26</v>
      </c>
      <c r="F74" t="str" cm="1">
        <f t="array" ref="F74">_xlfn.IFS(
E74&lt;20,"Below 20",
E74&lt;25,"20-25",
E74&lt;30,"25-30",
E74&lt;35,"30-35",
E74&gt;=35,"Above 35"
)</f>
        <v>25-30</v>
      </c>
      <c r="G74" t="s">
        <v>14</v>
      </c>
      <c r="H74" t="s">
        <v>15</v>
      </c>
      <c r="I74" t="s">
        <v>26</v>
      </c>
      <c r="J74" t="s">
        <v>17</v>
      </c>
      <c r="K74">
        <v>0.75</v>
      </c>
      <c r="L74">
        <v>0.75</v>
      </c>
      <c r="M74" t="s">
        <v>18</v>
      </c>
    </row>
    <row r="75" spans="1:13" x14ac:dyDescent="0.25">
      <c r="A75" t="s">
        <v>128</v>
      </c>
      <c r="B75" t="s">
        <v>34</v>
      </c>
      <c r="C75" t="s">
        <v>13</v>
      </c>
      <c r="D75" t="str">
        <f>IF(Merge3[[#This Row],[State Association]]="International", "International","National")</f>
        <v>International</v>
      </c>
      <c r="E75">
        <v>30</v>
      </c>
      <c r="F75" t="str" cm="1">
        <f t="array" ref="F75">_xlfn.IFS(
E75&lt;20,"Below 20",
E75&lt;25,"20-25",
E75&lt;30,"25-30",
E75&lt;35,"30-35",
E75&gt;=35,"Above 35"
)</f>
        <v>30-35</v>
      </c>
      <c r="G75" t="s">
        <v>69</v>
      </c>
      <c r="H75" t="s">
        <v>15</v>
      </c>
      <c r="I75" t="s">
        <v>23</v>
      </c>
      <c r="J75" t="s">
        <v>17</v>
      </c>
      <c r="K75">
        <v>2</v>
      </c>
      <c r="L75">
        <v>2.6</v>
      </c>
      <c r="M75" t="s">
        <v>18</v>
      </c>
    </row>
    <row r="76" spans="1:13" x14ac:dyDescent="0.25">
      <c r="A76" t="s">
        <v>129</v>
      </c>
      <c r="B76" t="s">
        <v>29</v>
      </c>
      <c r="C76" t="s">
        <v>13</v>
      </c>
      <c r="D76" t="str">
        <f>IF(Merge3[[#This Row],[State Association]]="International", "International","National")</f>
        <v>International</v>
      </c>
      <c r="E76">
        <v>28</v>
      </c>
      <c r="F76" t="str" cm="1">
        <f t="array" ref="F76">_xlfn.IFS(
E76&lt;20,"Below 20",
E76&lt;25,"20-25",
E76&lt;30,"25-30",
E76&lt;35,"30-35",
E76&gt;=35,"Above 35"
)</f>
        <v>25-30</v>
      </c>
      <c r="G76" t="s">
        <v>69</v>
      </c>
      <c r="H76" t="s">
        <v>15</v>
      </c>
      <c r="I76" t="s">
        <v>63</v>
      </c>
      <c r="J76" t="s">
        <v>17</v>
      </c>
      <c r="K76">
        <v>1</v>
      </c>
      <c r="L76">
        <v>1</v>
      </c>
      <c r="M76" t="s">
        <v>18</v>
      </c>
    </row>
    <row r="77" spans="1:13" x14ac:dyDescent="0.25">
      <c r="A77" t="s">
        <v>130</v>
      </c>
      <c r="B77" t="s">
        <v>20</v>
      </c>
      <c r="C77" t="s">
        <v>75</v>
      </c>
      <c r="D77" t="str">
        <f>IF(Merge3[[#This Row],[State Association]]="International", "International","National")</f>
        <v>National</v>
      </c>
      <c r="E77">
        <v>32</v>
      </c>
      <c r="F77" t="str" cm="1">
        <f t="array" ref="F77">_xlfn.IFS(
E77&lt;20,"Below 20",
E77&lt;25,"20-25",
E77&lt;30,"25-30",
E77&lt;35,"30-35",
E77&gt;=35,"Above 35"
)</f>
        <v>30-35</v>
      </c>
      <c r="G77" t="s">
        <v>46</v>
      </c>
      <c r="H77" t="s">
        <v>15</v>
      </c>
      <c r="I77" t="s">
        <v>63</v>
      </c>
      <c r="J77" t="s">
        <v>30</v>
      </c>
      <c r="K77">
        <v>2</v>
      </c>
      <c r="L77">
        <v>9.25</v>
      </c>
      <c r="M77" t="s">
        <v>18</v>
      </c>
    </row>
    <row r="78" spans="1:13" x14ac:dyDescent="0.25">
      <c r="A78" t="s">
        <v>131</v>
      </c>
      <c r="B78" t="s">
        <v>29</v>
      </c>
      <c r="C78" t="s">
        <v>13</v>
      </c>
      <c r="D78" t="str">
        <f>IF(Merge3[[#This Row],[State Association]]="International", "International","National")</f>
        <v>International</v>
      </c>
      <c r="E78">
        <v>24</v>
      </c>
      <c r="F78" t="str" cm="1">
        <f t="array" ref="F78">_xlfn.IFS(
E78&lt;20,"Below 20",
E78&lt;25,"20-25",
E78&lt;30,"25-30",
E78&lt;35,"30-35",
E78&gt;=35,"Above 35"
)</f>
        <v>20-25</v>
      </c>
      <c r="G78" t="s">
        <v>132</v>
      </c>
      <c r="H78" t="s">
        <v>15</v>
      </c>
      <c r="I78" t="s">
        <v>16</v>
      </c>
      <c r="J78" t="s">
        <v>30</v>
      </c>
      <c r="K78">
        <v>1.25</v>
      </c>
      <c r="L78">
        <v>2.4</v>
      </c>
      <c r="M78" t="s">
        <v>18</v>
      </c>
    </row>
    <row r="79" spans="1:13" x14ac:dyDescent="0.25">
      <c r="A79" t="s">
        <v>133</v>
      </c>
      <c r="B79" t="s">
        <v>20</v>
      </c>
      <c r="C79" t="s">
        <v>134</v>
      </c>
      <c r="D79" t="str">
        <f>IF(Merge3[[#This Row],[State Association]]="International", "International","National")</f>
        <v>National</v>
      </c>
      <c r="E79">
        <v>28</v>
      </c>
      <c r="F79" t="str" cm="1">
        <f t="array" ref="F79">_xlfn.IFS(
E79&lt;20,"Below 20",
E79&lt;25,"20-25",
E79&lt;30,"25-30",
E79&lt;35,"30-35",
E79&gt;=35,"Above 35"
)</f>
        <v>25-30</v>
      </c>
      <c r="G79" t="s">
        <v>38</v>
      </c>
      <c r="H79" t="s">
        <v>15</v>
      </c>
      <c r="I79" t="s">
        <v>27</v>
      </c>
      <c r="J79" t="s">
        <v>30</v>
      </c>
      <c r="K79">
        <v>1</v>
      </c>
      <c r="L79">
        <v>8</v>
      </c>
      <c r="M79" t="s">
        <v>18</v>
      </c>
    </row>
    <row r="80" spans="1:13" x14ac:dyDescent="0.25">
      <c r="A80" t="s">
        <v>135</v>
      </c>
      <c r="B80" t="s">
        <v>20</v>
      </c>
      <c r="C80" t="s">
        <v>21</v>
      </c>
      <c r="D80" t="str">
        <f>IF(Merge3[[#This Row],[State Association]]="International", "International","National")</f>
        <v>National</v>
      </c>
      <c r="E80">
        <v>29</v>
      </c>
      <c r="F80" t="str" cm="1">
        <f t="array" ref="F80">_xlfn.IFS(
E80&lt;20,"Below 20",
E80&lt;25,"20-25",
E80&lt;30,"25-30",
E80&lt;35,"30-35",
E80&gt;=35,"Above 35"
)</f>
        <v>25-30</v>
      </c>
      <c r="G80" t="s">
        <v>46</v>
      </c>
      <c r="H80" t="s">
        <v>15</v>
      </c>
      <c r="I80" t="s">
        <v>14</v>
      </c>
      <c r="J80" t="s">
        <v>30</v>
      </c>
      <c r="K80">
        <v>1</v>
      </c>
      <c r="L80">
        <v>6.5</v>
      </c>
      <c r="M80" t="s">
        <v>18</v>
      </c>
    </row>
    <row r="81" spans="1:13" x14ac:dyDescent="0.25">
      <c r="A81" t="s">
        <v>136</v>
      </c>
      <c r="B81" t="s">
        <v>45</v>
      </c>
      <c r="C81" t="s">
        <v>13</v>
      </c>
      <c r="D81" t="str">
        <f>IF(Merge3[[#This Row],[State Association]]="International", "International","National")</f>
        <v>International</v>
      </c>
      <c r="E81">
        <v>33</v>
      </c>
      <c r="F81" t="str" cm="1">
        <f t="array" ref="F81">_xlfn.IFS(
E81&lt;20,"Below 20",
E81&lt;25,"20-25",
E81&lt;30,"25-30",
E81&lt;35,"30-35",
E81&gt;=35,"Above 35"
)</f>
        <v>30-35</v>
      </c>
      <c r="G81" t="s">
        <v>38</v>
      </c>
      <c r="H81" t="s">
        <v>15</v>
      </c>
      <c r="I81" t="s">
        <v>23</v>
      </c>
      <c r="J81" t="s">
        <v>30</v>
      </c>
      <c r="K81">
        <v>2</v>
      </c>
      <c r="L81">
        <v>2</v>
      </c>
      <c r="M81" t="s">
        <v>18</v>
      </c>
    </row>
    <row r="82" spans="1:13" x14ac:dyDescent="0.25">
      <c r="A82" t="s">
        <v>137</v>
      </c>
      <c r="B82" t="s">
        <v>20</v>
      </c>
      <c r="C82" t="s">
        <v>90</v>
      </c>
      <c r="D82" t="str">
        <f>IF(Merge3[[#This Row],[State Association]]="International", "International","National")</f>
        <v>National</v>
      </c>
      <c r="E82">
        <v>35</v>
      </c>
      <c r="F82" t="str" cm="1">
        <f t="array" ref="F82">_xlfn.IFS(
E82&lt;20,"Below 20",
E82&lt;25,"20-25",
E82&lt;30,"25-30",
E82&lt;35,"30-35",
E82&gt;=35,"Above 35"
)</f>
        <v>Above 35</v>
      </c>
      <c r="G82" t="s">
        <v>48</v>
      </c>
      <c r="H82" t="s">
        <v>15</v>
      </c>
      <c r="I82" t="s">
        <v>38</v>
      </c>
      <c r="J82" t="s">
        <v>30</v>
      </c>
      <c r="K82">
        <v>2</v>
      </c>
      <c r="L82">
        <v>10.75</v>
      </c>
      <c r="M82" t="s">
        <v>18</v>
      </c>
    </row>
    <row r="83" spans="1:13" x14ac:dyDescent="0.25">
      <c r="A83" t="s">
        <v>138</v>
      </c>
      <c r="B83" t="s">
        <v>20</v>
      </c>
      <c r="C83" t="s">
        <v>134</v>
      </c>
      <c r="D83" t="str">
        <f>IF(Merge3[[#This Row],[State Association]]="International", "International","National")</f>
        <v>National</v>
      </c>
      <c r="E83">
        <v>31</v>
      </c>
      <c r="F83" t="str" cm="1">
        <f t="array" ref="F83">_xlfn.IFS(
E83&lt;20,"Below 20",
E83&lt;25,"20-25",
E83&lt;30,"25-30",
E83&lt;35,"30-35",
E83&gt;=35,"Above 35"
)</f>
        <v>30-35</v>
      </c>
      <c r="G83" t="s">
        <v>26</v>
      </c>
      <c r="H83" t="s">
        <v>15</v>
      </c>
      <c r="I83" t="s">
        <v>26</v>
      </c>
      <c r="J83" t="s">
        <v>30</v>
      </c>
      <c r="K83">
        <v>2</v>
      </c>
      <c r="L83">
        <v>8</v>
      </c>
      <c r="M83" t="s">
        <v>18</v>
      </c>
    </row>
    <row r="84" spans="1:13" x14ac:dyDescent="0.25">
      <c r="A84" t="s">
        <v>139</v>
      </c>
      <c r="B84" t="s">
        <v>20</v>
      </c>
      <c r="C84" t="s">
        <v>66</v>
      </c>
      <c r="D84" t="str">
        <f>IF(Merge3[[#This Row],[State Association]]="International", "International","National")</f>
        <v>National</v>
      </c>
      <c r="E84">
        <v>30</v>
      </c>
      <c r="F84" t="str" cm="1">
        <f t="array" ref="F84">_xlfn.IFS(
E84&lt;20,"Below 20",
E84&lt;25,"20-25",
E84&lt;30,"25-30",
E84&lt;35,"30-35",
E84&gt;=35,"Above 35"
)</f>
        <v>30-35</v>
      </c>
      <c r="G84" t="s">
        <v>14</v>
      </c>
      <c r="H84" t="s">
        <v>81</v>
      </c>
      <c r="I84" t="s">
        <v>14</v>
      </c>
      <c r="J84" t="s">
        <v>17</v>
      </c>
      <c r="K84">
        <v>0.3</v>
      </c>
      <c r="L84">
        <v>0.8</v>
      </c>
      <c r="M84" t="s">
        <v>18</v>
      </c>
    </row>
    <row r="85" spans="1:13" x14ac:dyDescent="0.25">
      <c r="A85" t="s">
        <v>140</v>
      </c>
      <c r="B85" t="s">
        <v>20</v>
      </c>
      <c r="C85" t="s">
        <v>141</v>
      </c>
      <c r="D85" t="str">
        <f>IF(Merge3[[#This Row],[State Association]]="International", "International","National")</f>
        <v>National</v>
      </c>
      <c r="E85">
        <v>20</v>
      </c>
      <c r="F85" t="str" cm="1">
        <f t="array" ref="F85">_xlfn.IFS(
E85&lt;20,"Below 20",
E85&lt;25,"20-25",
E85&lt;30,"25-30",
E85&lt;35,"30-35",
E85&gt;=35,"Above 35"
)</f>
        <v>20-25</v>
      </c>
      <c r="G85" t="s">
        <v>46</v>
      </c>
      <c r="H85" t="s">
        <v>81</v>
      </c>
      <c r="I85" t="s">
        <v>46</v>
      </c>
      <c r="J85" t="s">
        <v>17</v>
      </c>
      <c r="K85">
        <v>0.3</v>
      </c>
      <c r="L85">
        <v>0.3</v>
      </c>
      <c r="M85" t="s">
        <v>18</v>
      </c>
    </row>
    <row r="86" spans="1:13" x14ac:dyDescent="0.25">
      <c r="A86" t="s">
        <v>142</v>
      </c>
      <c r="B86" t="s">
        <v>20</v>
      </c>
      <c r="C86" t="s">
        <v>25</v>
      </c>
      <c r="D86" t="str">
        <f>IF(Merge3[[#This Row],[State Association]]="International", "International","National")</f>
        <v>National</v>
      </c>
      <c r="E86">
        <v>28</v>
      </c>
      <c r="F86" t="str" cm="1">
        <f t="array" ref="F86">_xlfn.IFS(
E86&lt;20,"Below 20",
E86&lt;25,"20-25",
E86&lt;30,"25-30",
E86&lt;35,"30-35",
E86&gt;=35,"Above 35"
)</f>
        <v>25-30</v>
      </c>
      <c r="G86" t="s">
        <v>69</v>
      </c>
      <c r="H86" t="s">
        <v>81</v>
      </c>
      <c r="I86" t="s">
        <v>27</v>
      </c>
      <c r="J86" t="s">
        <v>17</v>
      </c>
      <c r="K86">
        <v>0.3</v>
      </c>
      <c r="L86">
        <v>0.3</v>
      </c>
      <c r="M86" t="s">
        <v>18</v>
      </c>
    </row>
    <row r="87" spans="1:13" x14ac:dyDescent="0.25">
      <c r="A87" t="s">
        <v>143</v>
      </c>
      <c r="B87" t="s">
        <v>20</v>
      </c>
      <c r="C87" t="s">
        <v>36</v>
      </c>
      <c r="D87" t="str">
        <f>IF(Merge3[[#This Row],[State Association]]="International", "International","National")</f>
        <v>National</v>
      </c>
      <c r="E87">
        <v>24</v>
      </c>
      <c r="F87" t="str" cm="1">
        <f t="array" ref="F87">_xlfn.IFS(
E87&lt;20,"Below 20",
E87&lt;25,"20-25",
E87&lt;30,"25-30",
E87&lt;35,"30-35",
E87&gt;=35,"Above 35"
)</f>
        <v>20-25</v>
      </c>
      <c r="G87" t="s">
        <v>63</v>
      </c>
      <c r="H87" t="s">
        <v>81</v>
      </c>
      <c r="I87" t="s">
        <v>46</v>
      </c>
      <c r="J87" t="s">
        <v>39</v>
      </c>
      <c r="K87">
        <v>0.3</v>
      </c>
      <c r="L87">
        <v>3.4</v>
      </c>
      <c r="M87" t="s">
        <v>18</v>
      </c>
    </row>
    <row r="88" spans="1:13" x14ac:dyDescent="0.25">
      <c r="A88" t="s">
        <v>144</v>
      </c>
      <c r="B88" t="s">
        <v>20</v>
      </c>
      <c r="C88" t="s">
        <v>66</v>
      </c>
      <c r="D88" t="str">
        <f>IF(Merge3[[#This Row],[State Association]]="International", "International","National")</f>
        <v>National</v>
      </c>
      <c r="E88">
        <v>26</v>
      </c>
      <c r="F88" t="str" cm="1">
        <f t="array" ref="F88">_xlfn.IFS(
E88&lt;20,"Below 20",
E88&lt;25,"20-25",
E88&lt;30,"25-30",
E88&lt;35,"30-35",
E88&gt;=35,"Above 35"
)</f>
        <v>25-30</v>
      </c>
      <c r="G88" t="s">
        <v>16</v>
      </c>
      <c r="H88" t="s">
        <v>81</v>
      </c>
      <c r="I88" t="s">
        <v>26</v>
      </c>
      <c r="J88" t="s">
        <v>39</v>
      </c>
      <c r="K88">
        <v>0.3</v>
      </c>
      <c r="L88">
        <v>0.3</v>
      </c>
      <c r="M88" t="s">
        <v>18</v>
      </c>
    </row>
    <row r="89" spans="1:13" x14ac:dyDescent="0.25">
      <c r="A89" t="s">
        <v>145</v>
      </c>
      <c r="B89" t="s">
        <v>20</v>
      </c>
      <c r="C89" t="s">
        <v>62</v>
      </c>
      <c r="D89" t="str">
        <f>IF(Merge3[[#This Row],[State Association]]="International", "International","National")</f>
        <v>National</v>
      </c>
      <c r="E89">
        <v>26</v>
      </c>
      <c r="F89" t="str" cm="1">
        <f t="array" ref="F89">_xlfn.IFS(
E89&lt;20,"Below 20",
E89&lt;25,"20-25",
E89&lt;30,"25-30",
E89&lt;35,"30-35",
E89&gt;=35,"Above 35"
)</f>
        <v>25-30</v>
      </c>
      <c r="G89" t="s">
        <v>22</v>
      </c>
      <c r="H89" t="s">
        <v>81</v>
      </c>
      <c r="I89" t="s">
        <v>22</v>
      </c>
      <c r="J89" t="s">
        <v>39</v>
      </c>
      <c r="K89">
        <v>0.3</v>
      </c>
      <c r="L89">
        <v>0.4</v>
      </c>
      <c r="M89" t="s">
        <v>18</v>
      </c>
    </row>
    <row r="90" spans="1:13" x14ac:dyDescent="0.25">
      <c r="A90" t="s">
        <v>146</v>
      </c>
      <c r="B90" t="s">
        <v>20</v>
      </c>
      <c r="C90" t="s">
        <v>108</v>
      </c>
      <c r="D90" t="str">
        <f>IF(Merge3[[#This Row],[State Association]]="International", "International","National")</f>
        <v>National</v>
      </c>
      <c r="E90">
        <v>34</v>
      </c>
      <c r="F90" t="str" cm="1">
        <f t="array" ref="F90">_xlfn.IFS(
E90&lt;20,"Below 20",
E90&lt;25,"20-25",
E90&lt;30,"25-30",
E90&lt;35,"30-35",
E90&gt;=35,"Above 35"
)</f>
        <v>30-35</v>
      </c>
      <c r="G90" t="s">
        <v>23</v>
      </c>
      <c r="H90" t="s">
        <v>81</v>
      </c>
      <c r="I90" t="s">
        <v>38</v>
      </c>
      <c r="J90" t="s">
        <v>39</v>
      </c>
      <c r="K90">
        <v>0.3</v>
      </c>
      <c r="L90">
        <v>0.5</v>
      </c>
      <c r="M90" t="s">
        <v>18</v>
      </c>
    </row>
    <row r="91" spans="1:13" x14ac:dyDescent="0.25">
      <c r="A91" t="s">
        <v>147</v>
      </c>
      <c r="B91" t="s">
        <v>20</v>
      </c>
      <c r="C91" t="s">
        <v>25</v>
      </c>
      <c r="D91" t="str">
        <f>IF(Merge3[[#This Row],[State Association]]="International", "International","National")</f>
        <v>National</v>
      </c>
      <c r="E91">
        <v>22</v>
      </c>
      <c r="F91" t="str" cm="1">
        <f t="array" ref="F91">_xlfn.IFS(
E91&lt;20,"Below 20",
E91&lt;25,"20-25",
E91&lt;30,"25-30",
E91&lt;35,"30-35",
E91&gt;=35,"Above 35"
)</f>
        <v>20-25</v>
      </c>
      <c r="G91" t="s">
        <v>69</v>
      </c>
      <c r="H91" t="s">
        <v>81</v>
      </c>
      <c r="I91" t="s">
        <v>46</v>
      </c>
      <c r="J91" t="s">
        <v>17</v>
      </c>
      <c r="K91">
        <v>0.3</v>
      </c>
      <c r="L91">
        <v>0.55000000000000004</v>
      </c>
      <c r="M91" t="s">
        <v>18</v>
      </c>
    </row>
    <row r="92" spans="1:13" x14ac:dyDescent="0.25">
      <c r="A92" t="s">
        <v>148</v>
      </c>
      <c r="B92" t="s">
        <v>20</v>
      </c>
      <c r="C92" t="s">
        <v>51</v>
      </c>
      <c r="D92" t="str">
        <f>IF(Merge3[[#This Row],[State Association]]="International", "International","National")</f>
        <v>National</v>
      </c>
      <c r="E92">
        <v>28</v>
      </c>
      <c r="F92" t="str" cm="1">
        <f t="array" ref="F92">_xlfn.IFS(
E92&lt;20,"Below 20",
E92&lt;25,"20-25",
E92&lt;30,"25-30",
E92&lt;35,"30-35",
E92&gt;=35,"Above 35"
)</f>
        <v>25-30</v>
      </c>
      <c r="G92" t="s">
        <v>46</v>
      </c>
      <c r="H92" t="s">
        <v>81</v>
      </c>
      <c r="I92" t="s">
        <v>46</v>
      </c>
      <c r="J92" t="s">
        <v>30</v>
      </c>
      <c r="K92">
        <v>0.3</v>
      </c>
      <c r="L92">
        <v>0.3</v>
      </c>
      <c r="M92" t="s">
        <v>18</v>
      </c>
    </row>
    <row r="93" spans="1:13" x14ac:dyDescent="0.25">
      <c r="A93" t="s">
        <v>149</v>
      </c>
      <c r="B93" t="s">
        <v>20</v>
      </c>
      <c r="C93" t="s">
        <v>150</v>
      </c>
      <c r="D93" t="str">
        <f>IF(Merge3[[#This Row],[State Association]]="International", "International","National")</f>
        <v>National</v>
      </c>
      <c r="E93">
        <v>25</v>
      </c>
      <c r="F93" t="str" cm="1">
        <f t="array" ref="F93">_xlfn.IFS(
E93&lt;20,"Below 20",
E93&lt;25,"20-25",
E93&lt;30,"25-30",
E93&lt;35,"30-35",
E93&gt;=35,"Above 35"
)</f>
        <v>25-30</v>
      </c>
      <c r="G93" t="s">
        <v>63</v>
      </c>
      <c r="H93" t="s">
        <v>81</v>
      </c>
      <c r="I93" t="s">
        <v>63</v>
      </c>
      <c r="J93" t="s">
        <v>30</v>
      </c>
      <c r="K93">
        <v>0.3</v>
      </c>
      <c r="L93">
        <v>0.3</v>
      </c>
      <c r="M93" t="s">
        <v>18</v>
      </c>
    </row>
    <row r="94" spans="1:13" x14ac:dyDescent="0.25">
      <c r="A94" t="s">
        <v>151</v>
      </c>
      <c r="B94" t="s">
        <v>20</v>
      </c>
      <c r="C94" t="s">
        <v>90</v>
      </c>
      <c r="D94" t="str">
        <f>IF(Merge3[[#This Row],[State Association]]="International", "International","National")</f>
        <v>National</v>
      </c>
      <c r="E94">
        <v>25</v>
      </c>
      <c r="F94" t="str" cm="1">
        <f t="array" ref="F94">_xlfn.IFS(
E94&lt;20,"Below 20",
E94&lt;25,"20-25",
E94&lt;30,"25-30",
E94&lt;35,"30-35",
E94&gt;=35,"Above 35"
)</f>
        <v>25-30</v>
      </c>
      <c r="G94" t="s">
        <v>69</v>
      </c>
      <c r="H94" t="s">
        <v>81</v>
      </c>
      <c r="I94" t="s">
        <v>48</v>
      </c>
      <c r="J94" t="s">
        <v>30</v>
      </c>
      <c r="K94">
        <v>0.3</v>
      </c>
      <c r="L94">
        <v>0.4</v>
      </c>
      <c r="M94" t="s">
        <v>18</v>
      </c>
    </row>
    <row r="95" spans="1:13" x14ac:dyDescent="0.25">
      <c r="A95" t="s">
        <v>152</v>
      </c>
      <c r="B95" t="s">
        <v>20</v>
      </c>
      <c r="C95" t="s">
        <v>25</v>
      </c>
      <c r="D95" t="str">
        <f>IF(Merge3[[#This Row],[State Association]]="International", "International","National")</f>
        <v>National</v>
      </c>
      <c r="E95">
        <v>25</v>
      </c>
      <c r="F95" t="str" cm="1">
        <f t="array" ref="F95">_xlfn.IFS(
E95&lt;20,"Below 20",
E95&lt;25,"20-25",
E95&lt;30,"25-30",
E95&lt;35,"30-35",
E95&gt;=35,"Above 35"
)</f>
        <v>25-30</v>
      </c>
      <c r="G95" t="s">
        <v>69</v>
      </c>
      <c r="H95" t="s">
        <v>81</v>
      </c>
      <c r="I95" t="s">
        <v>27</v>
      </c>
      <c r="J95" t="s">
        <v>30</v>
      </c>
      <c r="K95">
        <v>0.3</v>
      </c>
      <c r="L95">
        <v>0.3</v>
      </c>
      <c r="M95" t="s">
        <v>18</v>
      </c>
    </row>
    <row r="96" spans="1:13" x14ac:dyDescent="0.25">
      <c r="A96" t="s">
        <v>153</v>
      </c>
      <c r="B96" t="s">
        <v>20</v>
      </c>
      <c r="C96" t="s">
        <v>42</v>
      </c>
      <c r="D96" t="str">
        <f>IF(Merge3[[#This Row],[State Association]]="International", "International","National")</f>
        <v>National</v>
      </c>
      <c r="E96">
        <v>35</v>
      </c>
      <c r="F96" t="str" cm="1">
        <f t="array" ref="F96">_xlfn.IFS(
E96&lt;20,"Below 20",
E96&lt;25,"20-25",
E96&lt;30,"25-30",
E96&lt;35,"30-35",
E96&gt;=35,"Above 35"
)</f>
        <v>Above 35</v>
      </c>
      <c r="G96" t="s">
        <v>22</v>
      </c>
      <c r="H96" t="s">
        <v>15</v>
      </c>
      <c r="I96" t="s">
        <v>22</v>
      </c>
      <c r="J96" t="s">
        <v>17</v>
      </c>
      <c r="K96">
        <v>0.75</v>
      </c>
      <c r="L96">
        <v>0.75</v>
      </c>
      <c r="M96" t="s">
        <v>18</v>
      </c>
    </row>
    <row r="97" spans="1:13" x14ac:dyDescent="0.25">
      <c r="A97" t="s">
        <v>154</v>
      </c>
      <c r="B97" t="s">
        <v>119</v>
      </c>
      <c r="C97" t="s">
        <v>13</v>
      </c>
      <c r="D97" t="str">
        <f>IF(Merge3[[#This Row],[State Association]]="International", "International","National")</f>
        <v>International</v>
      </c>
      <c r="E97">
        <v>26</v>
      </c>
      <c r="F97" t="str" cm="1">
        <f t="array" ref="F97">_xlfn.IFS(
E97&lt;20,"Below 20",
E97&lt;25,"20-25",
E97&lt;30,"25-30",
E97&lt;35,"30-35",
E97&gt;=35,"Above 35"
)</f>
        <v>25-30</v>
      </c>
      <c r="G97" t="s">
        <v>22</v>
      </c>
      <c r="H97" t="s">
        <v>15</v>
      </c>
      <c r="I97" t="s">
        <v>16</v>
      </c>
      <c r="J97" t="s">
        <v>17</v>
      </c>
      <c r="K97">
        <v>1.5</v>
      </c>
      <c r="L97">
        <v>2.6</v>
      </c>
      <c r="M97" t="s">
        <v>18</v>
      </c>
    </row>
    <row r="98" spans="1:13" x14ac:dyDescent="0.25">
      <c r="A98" t="s">
        <v>155</v>
      </c>
      <c r="B98" t="s">
        <v>12</v>
      </c>
      <c r="C98" t="s">
        <v>13</v>
      </c>
      <c r="D98" t="str">
        <f>IF(Merge3[[#This Row],[State Association]]="International", "International","National")</f>
        <v>International</v>
      </c>
      <c r="E98">
        <v>37</v>
      </c>
      <c r="F98" t="str" cm="1">
        <f t="array" ref="F98">_xlfn.IFS(
E98&lt;20,"Below 20",
E98&lt;25,"20-25",
E98&lt;30,"25-30",
E98&lt;35,"30-35",
E98&gt;=35,"Above 35"
)</f>
        <v>Above 35</v>
      </c>
      <c r="G98" t="s">
        <v>46</v>
      </c>
      <c r="H98" t="s">
        <v>15</v>
      </c>
      <c r="I98" t="s">
        <v>22</v>
      </c>
      <c r="J98" t="s">
        <v>39</v>
      </c>
      <c r="K98">
        <v>2</v>
      </c>
      <c r="L98">
        <v>2</v>
      </c>
      <c r="M98" t="s">
        <v>18</v>
      </c>
    </row>
    <row r="99" spans="1:13" x14ac:dyDescent="0.25">
      <c r="A99" t="s">
        <v>156</v>
      </c>
      <c r="B99" t="s">
        <v>34</v>
      </c>
      <c r="C99" t="s">
        <v>13</v>
      </c>
      <c r="D99" t="str">
        <f>IF(Merge3[[#This Row],[State Association]]="International", "International","National")</f>
        <v>International</v>
      </c>
      <c r="E99">
        <v>29</v>
      </c>
      <c r="F99" t="str" cm="1">
        <f t="array" ref="F99">_xlfn.IFS(
E99&lt;20,"Below 20",
E99&lt;25,"20-25",
E99&lt;30,"25-30",
E99&lt;35,"30-35",
E99&gt;=35,"Above 35"
)</f>
        <v>25-30</v>
      </c>
      <c r="G99" t="s">
        <v>63</v>
      </c>
      <c r="H99" t="s">
        <v>15</v>
      </c>
      <c r="I99" t="s">
        <v>38</v>
      </c>
      <c r="J99" t="s">
        <v>39</v>
      </c>
      <c r="K99">
        <v>2</v>
      </c>
      <c r="L99">
        <v>3</v>
      </c>
      <c r="M99" t="s">
        <v>18</v>
      </c>
    </row>
    <row r="100" spans="1:13" x14ac:dyDescent="0.25">
      <c r="A100" t="s">
        <v>157</v>
      </c>
      <c r="B100" t="s">
        <v>20</v>
      </c>
      <c r="C100" t="s">
        <v>75</v>
      </c>
      <c r="D100" t="str">
        <f>IF(Merge3[[#This Row],[State Association]]="International", "International","National")</f>
        <v>National</v>
      </c>
      <c r="E100">
        <v>29</v>
      </c>
      <c r="F100" t="str" cm="1">
        <f t="array" ref="F100">_xlfn.IFS(
E100&lt;20,"Below 20",
E100&lt;25,"20-25",
E100&lt;30,"25-30",
E100&lt;35,"30-35",
E100&gt;=35,"Above 35"
)</f>
        <v>25-30</v>
      </c>
      <c r="G100" t="s">
        <v>27</v>
      </c>
      <c r="H100" t="s">
        <v>15</v>
      </c>
      <c r="I100" t="s">
        <v>46</v>
      </c>
      <c r="J100" t="s">
        <v>39</v>
      </c>
      <c r="K100">
        <v>0.75</v>
      </c>
      <c r="L100">
        <v>1.7</v>
      </c>
      <c r="M100" t="s">
        <v>18</v>
      </c>
    </row>
    <row r="101" spans="1:13" x14ac:dyDescent="0.25">
      <c r="A101" t="s">
        <v>158</v>
      </c>
      <c r="B101" t="s">
        <v>12</v>
      </c>
      <c r="C101" t="s">
        <v>13</v>
      </c>
      <c r="D101" t="str">
        <f>IF(Merge3[[#This Row],[State Association]]="International", "International","National")</f>
        <v>International</v>
      </c>
      <c r="E101">
        <v>26</v>
      </c>
      <c r="F101" t="str" cm="1">
        <f t="array" ref="F101">_xlfn.IFS(
E101&lt;20,"Below 20",
E101&lt;25,"20-25",
E101&lt;30,"25-30",
E101&lt;35,"30-35",
E101&gt;=35,"Above 35"
)</f>
        <v>25-30</v>
      </c>
      <c r="G101" t="s">
        <v>38</v>
      </c>
      <c r="H101" t="s">
        <v>15</v>
      </c>
      <c r="I101" t="s">
        <v>63</v>
      </c>
      <c r="J101" t="s">
        <v>39</v>
      </c>
      <c r="K101">
        <v>2</v>
      </c>
      <c r="L101">
        <v>5.25</v>
      </c>
      <c r="M101" t="s">
        <v>18</v>
      </c>
    </row>
    <row r="102" spans="1:13" x14ac:dyDescent="0.25">
      <c r="A102" t="s">
        <v>159</v>
      </c>
      <c r="B102" t="s">
        <v>60</v>
      </c>
      <c r="C102" t="s">
        <v>13</v>
      </c>
      <c r="D102" t="str">
        <f>IF(Merge3[[#This Row],[State Association]]="International", "International","National")</f>
        <v>International</v>
      </c>
      <c r="E102">
        <v>25</v>
      </c>
      <c r="F102" t="str" cm="1">
        <f t="array" ref="F102">_xlfn.IFS(
E102&lt;20,"Below 20",
E102&lt;25,"20-25",
E102&lt;30,"25-30",
E102&lt;35,"30-35",
E102&gt;=35,"Above 35"
)</f>
        <v>25-30</v>
      </c>
      <c r="G102" t="s">
        <v>16</v>
      </c>
      <c r="H102" t="s">
        <v>15</v>
      </c>
      <c r="I102" t="s">
        <v>23</v>
      </c>
      <c r="J102" t="s">
        <v>39</v>
      </c>
      <c r="K102">
        <v>1.5</v>
      </c>
      <c r="L102">
        <v>2.4</v>
      </c>
      <c r="M102" t="s">
        <v>18</v>
      </c>
    </row>
    <row r="103" spans="1:13" x14ac:dyDescent="0.25">
      <c r="A103" t="s">
        <v>160</v>
      </c>
      <c r="B103" t="s">
        <v>119</v>
      </c>
      <c r="C103" t="s">
        <v>13</v>
      </c>
      <c r="D103" t="str">
        <f>IF(Merge3[[#This Row],[State Association]]="International", "International","National")</f>
        <v>International</v>
      </c>
      <c r="E103">
        <v>30</v>
      </c>
      <c r="F103" t="str" cm="1">
        <f t="array" ref="F103">_xlfn.IFS(
E103&lt;20,"Below 20",
E103&lt;25,"20-25",
E103&lt;30,"25-30",
E103&lt;35,"30-35",
E103&gt;=35,"Above 35"
)</f>
        <v>30-35</v>
      </c>
      <c r="G103" t="s">
        <v>63</v>
      </c>
      <c r="H103" t="s">
        <v>15</v>
      </c>
      <c r="I103" t="s">
        <v>38</v>
      </c>
      <c r="J103" t="s">
        <v>39</v>
      </c>
      <c r="K103">
        <v>1.5</v>
      </c>
      <c r="L103">
        <v>1.5</v>
      </c>
      <c r="M103" t="s">
        <v>18</v>
      </c>
    </row>
    <row r="104" spans="1:13" x14ac:dyDescent="0.25">
      <c r="A104" t="s">
        <v>161</v>
      </c>
      <c r="B104" t="s">
        <v>34</v>
      </c>
      <c r="C104" t="s">
        <v>13</v>
      </c>
      <c r="D104" t="str">
        <f>IF(Merge3[[#This Row],[State Association]]="International", "International","National")</f>
        <v>International</v>
      </c>
      <c r="E104">
        <v>29</v>
      </c>
      <c r="F104" t="str" cm="1">
        <f t="array" ref="F104">_xlfn.IFS(
E104&lt;20,"Below 20",
E104&lt;25,"20-25",
E104&lt;30,"25-30",
E104&lt;35,"30-35",
E104&gt;=35,"Above 35"
)</f>
        <v>25-30</v>
      </c>
      <c r="G104" t="s">
        <v>16</v>
      </c>
      <c r="H104" t="s">
        <v>15</v>
      </c>
      <c r="I104" t="s">
        <v>22</v>
      </c>
      <c r="J104" t="s">
        <v>30</v>
      </c>
      <c r="K104">
        <v>2</v>
      </c>
      <c r="L104">
        <v>2.8</v>
      </c>
      <c r="M104" t="s">
        <v>18</v>
      </c>
    </row>
    <row r="105" spans="1:13" x14ac:dyDescent="0.25">
      <c r="A105" t="s">
        <v>162</v>
      </c>
      <c r="B105" t="s">
        <v>20</v>
      </c>
      <c r="C105" t="s">
        <v>92</v>
      </c>
      <c r="D105" t="str">
        <f>IF(Merge3[[#This Row],[State Association]]="International", "International","National")</f>
        <v>National</v>
      </c>
      <c r="E105">
        <v>25</v>
      </c>
      <c r="F105" t="str" cm="1">
        <f t="array" ref="F105">_xlfn.IFS(
E105&lt;20,"Below 20",
E105&lt;25,"20-25",
E105&lt;30,"25-30",
E105&lt;35,"30-35",
E105&gt;=35,"Above 35"
)</f>
        <v>25-30</v>
      </c>
      <c r="G105" t="s">
        <v>48</v>
      </c>
      <c r="H105" t="s">
        <v>15</v>
      </c>
      <c r="I105" t="s">
        <v>22</v>
      </c>
      <c r="J105" t="s">
        <v>30</v>
      </c>
      <c r="K105">
        <v>0.75</v>
      </c>
      <c r="L105">
        <v>0.75</v>
      </c>
      <c r="M105" t="s">
        <v>18</v>
      </c>
    </row>
    <row r="106" spans="1:13" x14ac:dyDescent="0.25">
      <c r="A106" t="s">
        <v>163</v>
      </c>
      <c r="B106" t="s">
        <v>20</v>
      </c>
      <c r="C106" t="s">
        <v>25</v>
      </c>
      <c r="D106" t="str">
        <f>IF(Merge3[[#This Row],[State Association]]="International", "International","National")</f>
        <v>National</v>
      </c>
      <c r="E106">
        <v>36</v>
      </c>
      <c r="F106" t="str" cm="1">
        <f t="array" ref="F106">_xlfn.IFS(
E106&lt;20,"Below 20",
E106&lt;25,"20-25",
E106&lt;30,"25-30",
E106&lt;35,"30-35",
E106&gt;=35,"Above 35"
)</f>
        <v>Above 35</v>
      </c>
      <c r="G106" t="s">
        <v>26</v>
      </c>
      <c r="H106" t="s">
        <v>15</v>
      </c>
      <c r="I106" t="s">
        <v>16</v>
      </c>
      <c r="J106" t="s">
        <v>30</v>
      </c>
      <c r="K106">
        <v>0.75</v>
      </c>
      <c r="L106">
        <v>0.75</v>
      </c>
      <c r="M106" t="s">
        <v>18</v>
      </c>
    </row>
    <row r="107" spans="1:13" x14ac:dyDescent="0.25">
      <c r="A107" t="s">
        <v>164</v>
      </c>
      <c r="B107" t="s">
        <v>77</v>
      </c>
      <c r="C107" t="s">
        <v>13</v>
      </c>
      <c r="D107" t="str">
        <f>IF(Merge3[[#This Row],[State Association]]="International", "International","National")</f>
        <v>International</v>
      </c>
      <c r="E107">
        <v>30</v>
      </c>
      <c r="F107" t="str" cm="1">
        <f t="array" ref="F107">_xlfn.IFS(
E107&lt;20,"Below 20",
E107&lt;25,"20-25",
E107&lt;30,"25-30",
E107&lt;35,"30-35",
E107&gt;=35,"Above 35"
)</f>
        <v>30-35</v>
      </c>
      <c r="G107" t="s">
        <v>63</v>
      </c>
      <c r="H107" t="s">
        <v>15</v>
      </c>
      <c r="I107" t="s">
        <v>38</v>
      </c>
      <c r="J107" t="s">
        <v>30</v>
      </c>
      <c r="K107">
        <v>0.75</v>
      </c>
      <c r="L107">
        <v>1.6</v>
      </c>
      <c r="M107" t="s">
        <v>18</v>
      </c>
    </row>
    <row r="108" spans="1:13" x14ac:dyDescent="0.25">
      <c r="A108" t="s">
        <v>165</v>
      </c>
      <c r="B108" t="s">
        <v>20</v>
      </c>
      <c r="C108" t="s">
        <v>166</v>
      </c>
      <c r="D108" t="str">
        <f>IF(Merge3[[#This Row],[State Association]]="International", "International","National")</f>
        <v>National</v>
      </c>
      <c r="E108">
        <v>33</v>
      </c>
      <c r="F108" t="str" cm="1">
        <f t="array" ref="F108">_xlfn.IFS(
E108&lt;20,"Below 20",
E108&lt;25,"20-25",
E108&lt;30,"25-30",
E108&lt;35,"30-35",
E108&gt;=35,"Above 35"
)</f>
        <v>30-35</v>
      </c>
      <c r="G108" t="s">
        <v>48</v>
      </c>
      <c r="H108" t="s">
        <v>15</v>
      </c>
      <c r="I108" t="s">
        <v>48</v>
      </c>
      <c r="J108" t="s">
        <v>30</v>
      </c>
      <c r="K108">
        <v>1</v>
      </c>
      <c r="L108">
        <v>1</v>
      </c>
      <c r="M108" t="s">
        <v>18</v>
      </c>
    </row>
    <row r="109" spans="1:13" x14ac:dyDescent="0.25">
      <c r="A109" t="s">
        <v>167</v>
      </c>
      <c r="B109" t="s">
        <v>20</v>
      </c>
      <c r="C109" t="s">
        <v>104</v>
      </c>
      <c r="D109" t="str">
        <f>IF(Merge3[[#This Row],[State Association]]="International", "International","National")</f>
        <v>National</v>
      </c>
      <c r="E109">
        <v>36</v>
      </c>
      <c r="F109" t="str" cm="1">
        <f t="array" ref="F109">_xlfn.IFS(
E109&lt;20,"Below 20",
E109&lt;25,"20-25",
E109&lt;30,"25-30",
E109&lt;35,"30-35",
E109&gt;=35,"Above 35"
)</f>
        <v>Above 35</v>
      </c>
      <c r="G109" t="s">
        <v>69</v>
      </c>
      <c r="H109" t="s">
        <v>81</v>
      </c>
      <c r="I109" t="s">
        <v>48</v>
      </c>
      <c r="J109" t="s">
        <v>17</v>
      </c>
      <c r="K109">
        <v>0.3</v>
      </c>
      <c r="L109">
        <v>0.3</v>
      </c>
      <c r="M109" t="s">
        <v>18</v>
      </c>
    </row>
    <row r="110" spans="1:13" x14ac:dyDescent="0.25">
      <c r="A110" t="s">
        <v>168</v>
      </c>
      <c r="B110" t="s">
        <v>20</v>
      </c>
      <c r="C110" t="s">
        <v>51</v>
      </c>
      <c r="D110" t="str">
        <f>IF(Merge3[[#This Row],[State Association]]="International", "International","National")</f>
        <v>National</v>
      </c>
      <c r="E110">
        <v>22</v>
      </c>
      <c r="F110" t="str" cm="1">
        <f t="array" ref="F110">_xlfn.IFS(
E110&lt;20,"Below 20",
E110&lt;25,"20-25",
E110&lt;30,"25-30",
E110&lt;35,"30-35",
E110&gt;=35,"Above 35"
)</f>
        <v>20-25</v>
      </c>
      <c r="G110" t="s">
        <v>46</v>
      </c>
      <c r="H110" t="s">
        <v>81</v>
      </c>
      <c r="I110" t="s">
        <v>27</v>
      </c>
      <c r="J110" t="s">
        <v>39</v>
      </c>
      <c r="K110">
        <v>0.3</v>
      </c>
      <c r="L110">
        <v>0.3</v>
      </c>
      <c r="M110" t="s">
        <v>18</v>
      </c>
    </row>
    <row r="111" spans="1:13" x14ac:dyDescent="0.25">
      <c r="A111" t="s">
        <v>169</v>
      </c>
      <c r="B111" t="s">
        <v>20</v>
      </c>
      <c r="C111" t="s">
        <v>51</v>
      </c>
      <c r="D111" t="str">
        <f>IF(Merge3[[#This Row],[State Association]]="International", "International","National")</f>
        <v>National</v>
      </c>
      <c r="E111">
        <v>20</v>
      </c>
      <c r="F111" t="str" cm="1">
        <f t="array" ref="F111">_xlfn.IFS(
E111&lt;20,"Below 20",
E111&lt;25,"20-25",
E111&lt;30,"25-30",
E111&lt;35,"30-35",
E111&gt;=35,"Above 35"
)</f>
        <v>20-25</v>
      </c>
      <c r="G111" t="s">
        <v>27</v>
      </c>
      <c r="H111" t="s">
        <v>81</v>
      </c>
      <c r="I111" t="s">
        <v>27</v>
      </c>
      <c r="J111" t="s">
        <v>39</v>
      </c>
      <c r="K111">
        <v>0.3</v>
      </c>
      <c r="L111">
        <v>0.3</v>
      </c>
      <c r="M111" t="s">
        <v>18</v>
      </c>
    </row>
    <row r="112" spans="1:13" x14ac:dyDescent="0.25">
      <c r="A112" t="s">
        <v>170</v>
      </c>
      <c r="B112" t="s">
        <v>20</v>
      </c>
      <c r="C112" t="s">
        <v>32</v>
      </c>
      <c r="D112" t="str">
        <f>IF(Merge3[[#This Row],[State Association]]="International", "International","National")</f>
        <v>National</v>
      </c>
      <c r="E112">
        <v>23</v>
      </c>
      <c r="F112" t="str" cm="1">
        <f t="array" ref="F112">_xlfn.IFS(
E112&lt;20,"Below 20",
E112&lt;25,"20-25",
E112&lt;30,"25-30",
E112&lt;35,"30-35",
E112&gt;=35,"Above 35"
)</f>
        <v>20-25</v>
      </c>
      <c r="G112" t="s">
        <v>69</v>
      </c>
      <c r="H112" t="s">
        <v>81</v>
      </c>
      <c r="I112" t="s">
        <v>63</v>
      </c>
      <c r="J112" t="s">
        <v>30</v>
      </c>
      <c r="K112">
        <v>0.3</v>
      </c>
      <c r="L112">
        <v>0.3</v>
      </c>
      <c r="M112" t="s">
        <v>18</v>
      </c>
    </row>
    <row r="113" spans="1:13" x14ac:dyDescent="0.25">
      <c r="A113" t="s">
        <v>171</v>
      </c>
      <c r="B113" t="s">
        <v>20</v>
      </c>
      <c r="C113" t="s">
        <v>124</v>
      </c>
      <c r="D113" t="str">
        <f>IF(Merge3[[#This Row],[State Association]]="International", "International","National")</f>
        <v>National</v>
      </c>
      <c r="E113">
        <v>22</v>
      </c>
      <c r="F113" t="str" cm="1">
        <f t="array" ref="F113">_xlfn.IFS(
E113&lt;20,"Below 20",
E113&lt;25,"20-25",
E113&lt;30,"25-30",
E113&lt;35,"30-35",
E113&gt;=35,"Above 35"
)</f>
        <v>20-25</v>
      </c>
      <c r="G113" t="s">
        <v>69</v>
      </c>
      <c r="H113" t="s">
        <v>81</v>
      </c>
      <c r="I113" t="s">
        <v>27</v>
      </c>
      <c r="J113" t="s">
        <v>30</v>
      </c>
      <c r="K113">
        <v>0.3</v>
      </c>
      <c r="L113">
        <v>0.3</v>
      </c>
      <c r="M113" t="s">
        <v>18</v>
      </c>
    </row>
    <row r="114" spans="1:13" x14ac:dyDescent="0.25">
      <c r="A114" t="s">
        <v>172</v>
      </c>
      <c r="B114" t="s">
        <v>20</v>
      </c>
      <c r="C114" t="s">
        <v>94</v>
      </c>
      <c r="D114" t="str">
        <f>IF(Merge3[[#This Row],[State Association]]="International", "International","National")</f>
        <v>National</v>
      </c>
      <c r="E114">
        <v>26</v>
      </c>
      <c r="F114" t="str" cm="1">
        <f t="array" ref="F114">_xlfn.IFS(
E114&lt;20,"Below 20",
E114&lt;25,"20-25",
E114&lt;30,"25-30",
E114&lt;35,"30-35",
E114&gt;=35,"Above 35"
)</f>
        <v>25-30</v>
      </c>
      <c r="G114" t="s">
        <v>69</v>
      </c>
      <c r="H114" t="s">
        <v>81</v>
      </c>
      <c r="I114" t="s">
        <v>46</v>
      </c>
      <c r="J114" t="s">
        <v>30</v>
      </c>
      <c r="K114">
        <v>0.3</v>
      </c>
      <c r="L114">
        <v>2.2000000000000002</v>
      </c>
      <c r="M114" t="s">
        <v>18</v>
      </c>
    </row>
    <row r="115" spans="1:13" x14ac:dyDescent="0.25">
      <c r="A115" t="s">
        <v>173</v>
      </c>
      <c r="B115" t="s">
        <v>29</v>
      </c>
      <c r="C115" t="s">
        <v>13</v>
      </c>
      <c r="D115" t="str">
        <f>IF(Merge3[[#This Row],[State Association]]="International", "International","National")</f>
        <v>International</v>
      </c>
      <c r="E115">
        <v>26</v>
      </c>
      <c r="F115" t="str" cm="1">
        <f t="array" ref="F115">_xlfn.IFS(
E115&lt;20,"Below 20",
E115&lt;25,"20-25",
E115&lt;30,"25-30",
E115&lt;35,"30-35",
E115&gt;=35,"Above 35"
)</f>
        <v>25-30</v>
      </c>
      <c r="G115" t="s">
        <v>69</v>
      </c>
      <c r="H115" t="s">
        <v>15</v>
      </c>
      <c r="I115" t="s">
        <v>27</v>
      </c>
      <c r="J115" t="s">
        <v>17</v>
      </c>
      <c r="K115">
        <v>0.75</v>
      </c>
      <c r="L115">
        <v>0.75</v>
      </c>
      <c r="M115" t="s">
        <v>18</v>
      </c>
    </row>
    <row r="116" spans="1:13" x14ac:dyDescent="0.25">
      <c r="A116" t="s">
        <v>174</v>
      </c>
      <c r="B116" t="s">
        <v>45</v>
      </c>
      <c r="C116" t="s">
        <v>13</v>
      </c>
      <c r="D116" t="str">
        <f>IF(Merge3[[#This Row],[State Association]]="International", "International","National")</f>
        <v>International</v>
      </c>
      <c r="E116">
        <v>33</v>
      </c>
      <c r="F116" t="str" cm="1">
        <f t="array" ref="F116">_xlfn.IFS(
E116&lt;20,"Below 20",
E116&lt;25,"20-25",
E116&lt;30,"25-30",
E116&lt;35,"30-35",
E116&gt;=35,"Above 35"
)</f>
        <v>30-35</v>
      </c>
      <c r="G116" t="s">
        <v>46</v>
      </c>
      <c r="H116" t="s">
        <v>15</v>
      </c>
      <c r="I116" t="s">
        <v>63</v>
      </c>
      <c r="J116" t="s">
        <v>39</v>
      </c>
      <c r="K116">
        <v>2</v>
      </c>
      <c r="L116">
        <v>2</v>
      </c>
      <c r="M116" t="s">
        <v>18</v>
      </c>
    </row>
    <row r="117" spans="1:13" x14ac:dyDescent="0.25">
      <c r="A117" t="s">
        <v>175</v>
      </c>
      <c r="B117" t="s">
        <v>20</v>
      </c>
      <c r="C117" t="s">
        <v>36</v>
      </c>
      <c r="D117" t="str">
        <f>IF(Merge3[[#This Row],[State Association]]="International", "International","National")</f>
        <v>National</v>
      </c>
      <c r="E117">
        <v>35</v>
      </c>
      <c r="F117" t="str" cm="1">
        <f t="array" ref="F117">_xlfn.IFS(
E117&lt;20,"Below 20",
E117&lt;25,"20-25",
E117&lt;30,"25-30",
E117&lt;35,"30-35",
E117&gt;=35,"Above 35"
)</f>
        <v>Above 35</v>
      </c>
      <c r="G117" t="s">
        <v>16</v>
      </c>
      <c r="H117" t="s">
        <v>15</v>
      </c>
      <c r="I117" t="s">
        <v>16</v>
      </c>
      <c r="J117" t="s">
        <v>39</v>
      </c>
      <c r="K117">
        <v>0.75</v>
      </c>
      <c r="L117">
        <v>0.75</v>
      </c>
      <c r="M117" t="s">
        <v>18</v>
      </c>
    </row>
    <row r="118" spans="1:13" x14ac:dyDescent="0.25">
      <c r="A118" t="s">
        <v>176</v>
      </c>
      <c r="B118" t="s">
        <v>60</v>
      </c>
      <c r="C118" t="s">
        <v>13</v>
      </c>
      <c r="D118" t="str">
        <f>IF(Merge3[[#This Row],[State Association]]="International", "International","National")</f>
        <v>International</v>
      </c>
      <c r="E118">
        <v>24</v>
      </c>
      <c r="F118" t="str" cm="1">
        <f t="array" ref="F118">_xlfn.IFS(
E118&lt;20,"Below 20",
E118&lt;25,"20-25",
E118&lt;30,"25-30",
E118&lt;35,"30-35",
E118&gt;=35,"Above 35"
)</f>
        <v>20-25</v>
      </c>
      <c r="G118" t="s">
        <v>48</v>
      </c>
      <c r="H118" t="s">
        <v>15</v>
      </c>
      <c r="I118" t="s">
        <v>14</v>
      </c>
      <c r="J118" t="s">
        <v>30</v>
      </c>
      <c r="K118">
        <v>2</v>
      </c>
      <c r="L118">
        <v>2</v>
      </c>
      <c r="M118" t="s">
        <v>18</v>
      </c>
    </row>
    <row r="119" spans="1:13" x14ac:dyDescent="0.25">
      <c r="A119" t="s">
        <v>177</v>
      </c>
      <c r="B119" t="s">
        <v>29</v>
      </c>
      <c r="C119" t="s">
        <v>13</v>
      </c>
      <c r="D119" t="str">
        <f>IF(Merge3[[#This Row],[State Association]]="International", "International","National")</f>
        <v>International</v>
      </c>
      <c r="E119">
        <v>18</v>
      </c>
      <c r="F119" t="str" cm="1">
        <f t="array" ref="F119">_xlfn.IFS(
E119&lt;20,"Below 20",
E119&lt;25,"20-25",
E119&lt;30,"25-30",
E119&lt;35,"30-35",
E119&gt;=35,"Above 35"
)</f>
        <v>Below 20</v>
      </c>
      <c r="G119" t="s">
        <v>63</v>
      </c>
      <c r="H119" t="s">
        <v>15</v>
      </c>
      <c r="I119" t="s">
        <v>14</v>
      </c>
      <c r="J119" t="s">
        <v>30</v>
      </c>
      <c r="K119">
        <v>0.75</v>
      </c>
      <c r="L119">
        <v>1.5</v>
      </c>
      <c r="M119" t="s">
        <v>18</v>
      </c>
    </row>
    <row r="120" spans="1:13" x14ac:dyDescent="0.25">
      <c r="A120" t="s">
        <v>178</v>
      </c>
      <c r="B120" t="s">
        <v>20</v>
      </c>
      <c r="C120" t="s">
        <v>53</v>
      </c>
      <c r="D120" t="str">
        <f>IF(Merge3[[#This Row],[State Association]]="International", "International","National")</f>
        <v>National</v>
      </c>
      <c r="E120">
        <v>28</v>
      </c>
      <c r="F120" t="str" cm="1">
        <f t="array" ref="F120">_xlfn.IFS(
E120&lt;20,"Below 20",
E120&lt;25,"20-25",
E120&lt;30,"25-30",
E120&lt;35,"30-35",
E120&gt;=35,"Above 35"
)</f>
        <v>25-30</v>
      </c>
      <c r="G120" t="s">
        <v>14</v>
      </c>
      <c r="H120" t="s">
        <v>15</v>
      </c>
      <c r="I120" t="s">
        <v>23</v>
      </c>
      <c r="J120" t="s">
        <v>30</v>
      </c>
      <c r="K120">
        <v>0.75</v>
      </c>
      <c r="L120">
        <v>0.8</v>
      </c>
      <c r="M120" t="s">
        <v>18</v>
      </c>
    </row>
    <row r="121" spans="1:13" x14ac:dyDescent="0.25">
      <c r="A121" t="s">
        <v>179</v>
      </c>
      <c r="B121" t="s">
        <v>12</v>
      </c>
      <c r="C121" t="s">
        <v>13</v>
      </c>
      <c r="D121" t="str">
        <f>IF(Merge3[[#This Row],[State Association]]="International", "International","National")</f>
        <v>International</v>
      </c>
      <c r="E121">
        <v>31</v>
      </c>
      <c r="F121" t="str" cm="1">
        <f t="array" ref="F121">_xlfn.IFS(
E121&lt;20,"Below 20",
E121&lt;25,"20-25",
E121&lt;30,"25-30",
E121&lt;35,"30-35",
E121&gt;=35,"Above 35"
)</f>
        <v>30-35</v>
      </c>
      <c r="G121" t="s">
        <v>38</v>
      </c>
      <c r="H121" t="s">
        <v>15</v>
      </c>
      <c r="I121" t="s">
        <v>63</v>
      </c>
      <c r="J121" t="s">
        <v>30</v>
      </c>
      <c r="K121">
        <v>0.75</v>
      </c>
      <c r="L121">
        <v>0.75</v>
      </c>
      <c r="M121" t="s">
        <v>18</v>
      </c>
    </row>
    <row r="122" spans="1:13" x14ac:dyDescent="0.25">
      <c r="A122" t="s">
        <v>180</v>
      </c>
      <c r="B122" t="s">
        <v>29</v>
      </c>
      <c r="C122" t="s">
        <v>13</v>
      </c>
      <c r="D122" t="str">
        <f>IF(Merge3[[#This Row],[State Association]]="International", "International","National")</f>
        <v>International</v>
      </c>
      <c r="E122">
        <v>31</v>
      </c>
      <c r="F122" t="str" cm="1">
        <f t="array" ref="F122">_xlfn.IFS(
E122&lt;20,"Below 20",
E122&lt;25,"20-25",
E122&lt;30,"25-30",
E122&lt;35,"30-35",
E122&gt;=35,"Above 35"
)</f>
        <v>30-35</v>
      </c>
      <c r="G122" t="s">
        <v>26</v>
      </c>
      <c r="H122" t="s">
        <v>15</v>
      </c>
      <c r="I122" t="s">
        <v>63</v>
      </c>
      <c r="J122" t="s">
        <v>30</v>
      </c>
      <c r="K122">
        <v>0.75</v>
      </c>
      <c r="L122">
        <v>0.75</v>
      </c>
      <c r="M122" t="s">
        <v>18</v>
      </c>
    </row>
    <row r="123" spans="1:13" x14ac:dyDescent="0.25">
      <c r="A123" t="s">
        <v>181</v>
      </c>
      <c r="B123" t="s">
        <v>20</v>
      </c>
      <c r="C123" t="s">
        <v>25</v>
      </c>
      <c r="D123" t="str">
        <f>IF(Merge3[[#This Row],[State Association]]="International", "International","National")</f>
        <v>National</v>
      </c>
      <c r="E123">
        <v>23</v>
      </c>
      <c r="F123" t="str" cm="1">
        <f t="array" ref="F123">_xlfn.IFS(
E123&lt;20,"Below 20",
E123&lt;25,"20-25",
E123&lt;30,"25-30",
E123&lt;35,"30-35",
E123&gt;=35,"Above 35"
)</f>
        <v>20-25</v>
      </c>
      <c r="G123" t="s">
        <v>69</v>
      </c>
      <c r="H123" t="s">
        <v>81</v>
      </c>
      <c r="I123" t="s">
        <v>23</v>
      </c>
      <c r="J123" t="s">
        <v>39</v>
      </c>
      <c r="K123">
        <v>0.3</v>
      </c>
      <c r="L123">
        <v>3.8</v>
      </c>
      <c r="M123" t="s">
        <v>18</v>
      </c>
    </row>
    <row r="124" spans="1:13" x14ac:dyDescent="0.25">
      <c r="A124" t="s">
        <v>182</v>
      </c>
      <c r="B124" t="s">
        <v>20</v>
      </c>
      <c r="C124" t="s">
        <v>42</v>
      </c>
      <c r="D124" t="str">
        <f>IF(Merge3[[#This Row],[State Association]]="International", "International","National")</f>
        <v>National</v>
      </c>
      <c r="E124">
        <v>26</v>
      </c>
      <c r="F124" t="str" cm="1">
        <f t="array" ref="F124">_xlfn.IFS(
E124&lt;20,"Below 20",
E124&lt;25,"20-25",
E124&lt;30,"25-30",
E124&lt;35,"30-35",
E124&gt;=35,"Above 35"
)</f>
        <v>25-30</v>
      </c>
      <c r="G124" t="s">
        <v>38</v>
      </c>
      <c r="H124" t="s">
        <v>81</v>
      </c>
      <c r="I124" t="s">
        <v>38</v>
      </c>
      <c r="J124" t="s">
        <v>39</v>
      </c>
      <c r="K124">
        <v>0.3</v>
      </c>
      <c r="L124">
        <v>0.3</v>
      </c>
      <c r="M124" t="s">
        <v>18</v>
      </c>
    </row>
    <row r="125" spans="1:13" x14ac:dyDescent="0.25">
      <c r="A125" t="s">
        <v>183</v>
      </c>
      <c r="B125" t="s">
        <v>20</v>
      </c>
      <c r="C125" t="s">
        <v>184</v>
      </c>
      <c r="D125" t="str">
        <f>IF(Merge3[[#This Row],[State Association]]="International", "International","National")</f>
        <v>National</v>
      </c>
      <c r="E125">
        <v>29</v>
      </c>
      <c r="F125" t="str" cm="1">
        <f t="array" ref="F125">_xlfn.IFS(
E125&lt;20,"Below 20",
E125&lt;25,"20-25",
E125&lt;30,"25-30",
E125&lt;35,"30-35",
E125&gt;=35,"Above 35"
)</f>
        <v>25-30</v>
      </c>
      <c r="G125" t="s">
        <v>46</v>
      </c>
      <c r="H125" t="s">
        <v>81</v>
      </c>
      <c r="I125" t="s">
        <v>26</v>
      </c>
      <c r="J125" t="s">
        <v>39</v>
      </c>
      <c r="K125">
        <v>0.3</v>
      </c>
      <c r="L125">
        <v>0.3</v>
      </c>
      <c r="M125" t="s">
        <v>18</v>
      </c>
    </row>
    <row r="126" spans="1:13" x14ac:dyDescent="0.25">
      <c r="A126" t="s">
        <v>185</v>
      </c>
      <c r="B126" t="s">
        <v>20</v>
      </c>
      <c r="C126" t="s">
        <v>90</v>
      </c>
      <c r="D126" t="str">
        <f>IF(Merge3[[#This Row],[State Association]]="International", "International","National")</f>
        <v>National</v>
      </c>
      <c r="E126">
        <v>20</v>
      </c>
      <c r="F126" t="str" cm="1">
        <f t="array" ref="F126">_xlfn.IFS(
E126&lt;20,"Below 20",
E126&lt;25,"20-25",
E126&lt;30,"25-30",
E126&lt;35,"30-35",
E126&gt;=35,"Above 35"
)</f>
        <v>20-25</v>
      </c>
      <c r="G126" t="s">
        <v>69</v>
      </c>
      <c r="H126" t="s">
        <v>81</v>
      </c>
      <c r="I126" t="s">
        <v>26</v>
      </c>
      <c r="J126" t="s">
        <v>39</v>
      </c>
      <c r="K126">
        <v>0.3</v>
      </c>
      <c r="L126">
        <v>0.5</v>
      </c>
      <c r="M126" t="s">
        <v>18</v>
      </c>
    </row>
    <row r="127" spans="1:13" x14ac:dyDescent="0.25">
      <c r="A127" t="s">
        <v>186</v>
      </c>
      <c r="B127" t="s">
        <v>20</v>
      </c>
      <c r="C127" t="s">
        <v>187</v>
      </c>
      <c r="D127" t="str">
        <f>IF(Merge3[[#This Row],[State Association]]="International", "International","National")</f>
        <v>National</v>
      </c>
      <c r="E127">
        <v>26</v>
      </c>
      <c r="F127" t="str" cm="1">
        <f t="array" ref="F127">_xlfn.IFS(
E127&lt;20,"Below 20",
E127&lt;25,"20-25",
E127&lt;30,"25-30",
E127&lt;35,"30-35",
E127&gt;=35,"Above 35"
)</f>
        <v>25-30</v>
      </c>
      <c r="G127" t="s">
        <v>69</v>
      </c>
      <c r="H127" t="s">
        <v>81</v>
      </c>
      <c r="I127" t="s">
        <v>38</v>
      </c>
      <c r="J127" t="s">
        <v>30</v>
      </c>
      <c r="K127">
        <v>0.3</v>
      </c>
      <c r="L127">
        <v>0.3</v>
      </c>
      <c r="M127" t="s">
        <v>18</v>
      </c>
    </row>
    <row r="128" spans="1:13" x14ac:dyDescent="0.25">
      <c r="A128" t="s">
        <v>188</v>
      </c>
      <c r="B128" t="s">
        <v>12</v>
      </c>
      <c r="C128" t="s">
        <v>13</v>
      </c>
      <c r="D128" t="str">
        <f>IF(Merge3[[#This Row],[State Association]]="International", "International","National")</f>
        <v>International</v>
      </c>
      <c r="E128">
        <v>21</v>
      </c>
      <c r="F128" t="str" cm="1">
        <f t="array" ref="F128">_xlfn.IFS(
E128&lt;20,"Below 20",
E128&lt;25,"20-25",
E128&lt;30,"25-30",
E128&lt;35,"30-35",
E128&gt;=35,"Above 35"
)</f>
        <v>20-25</v>
      </c>
      <c r="G128" t="s">
        <v>69</v>
      </c>
      <c r="H128" t="s">
        <v>15</v>
      </c>
      <c r="I128" t="s">
        <v>38</v>
      </c>
      <c r="J128" t="s">
        <v>39</v>
      </c>
      <c r="K128">
        <v>1.25</v>
      </c>
      <c r="L128">
        <v>2.6</v>
      </c>
      <c r="M128" t="s">
        <v>18</v>
      </c>
    </row>
    <row r="129" spans="1:13" x14ac:dyDescent="0.25">
      <c r="A129" t="s">
        <v>189</v>
      </c>
      <c r="B129" t="s">
        <v>12</v>
      </c>
      <c r="C129" t="s">
        <v>13</v>
      </c>
      <c r="D129" t="str">
        <f>IF(Merge3[[#This Row],[State Association]]="International", "International","National")</f>
        <v>International</v>
      </c>
      <c r="E129">
        <v>29</v>
      </c>
      <c r="F129" t="str" cm="1">
        <f t="array" ref="F129">_xlfn.IFS(
E129&lt;20,"Below 20",
E129&lt;25,"20-25",
E129&lt;30,"25-30",
E129&lt;35,"30-35",
E129&gt;=35,"Above 35"
)</f>
        <v>25-30</v>
      </c>
      <c r="G129" t="s">
        <v>69</v>
      </c>
      <c r="H129" t="s">
        <v>15</v>
      </c>
      <c r="I129" t="s">
        <v>48</v>
      </c>
      <c r="J129" t="s">
        <v>39</v>
      </c>
      <c r="K129">
        <v>1</v>
      </c>
      <c r="L129">
        <v>1</v>
      </c>
      <c r="M129" t="s">
        <v>18</v>
      </c>
    </row>
    <row r="130" spans="1:13" x14ac:dyDescent="0.25">
      <c r="A130" t="s">
        <v>190</v>
      </c>
      <c r="B130" t="s">
        <v>34</v>
      </c>
      <c r="C130" t="s">
        <v>13</v>
      </c>
      <c r="D130" t="str">
        <f>IF(Merge3[[#This Row],[State Association]]="International", "International","National")</f>
        <v>International</v>
      </c>
      <c r="E130">
        <v>26</v>
      </c>
      <c r="F130" t="str" cm="1">
        <f t="array" ref="F130">_xlfn.IFS(
E130&lt;20,"Below 20",
E130&lt;25,"20-25",
E130&lt;30,"25-30",
E130&lt;35,"30-35",
E130&gt;=35,"Above 35"
)</f>
        <v>25-30</v>
      </c>
      <c r="G130" t="s">
        <v>69</v>
      </c>
      <c r="H130" t="s">
        <v>15</v>
      </c>
      <c r="I130" t="s">
        <v>23</v>
      </c>
      <c r="J130" t="s">
        <v>39</v>
      </c>
      <c r="K130">
        <v>1.25</v>
      </c>
      <c r="L130">
        <v>1.25</v>
      </c>
      <c r="M130" t="s">
        <v>18</v>
      </c>
    </row>
    <row r="131" spans="1:13" x14ac:dyDescent="0.25">
      <c r="A131" t="s">
        <v>191</v>
      </c>
      <c r="B131" t="s">
        <v>77</v>
      </c>
      <c r="C131" t="s">
        <v>13</v>
      </c>
      <c r="D131" t="str">
        <f>IF(Merge3[[#This Row],[State Association]]="International", "International","National")</f>
        <v>International</v>
      </c>
      <c r="E131">
        <v>26</v>
      </c>
      <c r="F131" t="str" cm="1">
        <f t="array" ref="F131">_xlfn.IFS(
E131&lt;20,"Below 20",
E131&lt;25,"20-25",
E131&lt;30,"25-30",
E131&lt;35,"30-35",
E131&gt;=35,"Above 35"
)</f>
        <v>25-30</v>
      </c>
      <c r="G131" t="s">
        <v>69</v>
      </c>
      <c r="H131" t="s">
        <v>15</v>
      </c>
      <c r="I131" t="s">
        <v>48</v>
      </c>
      <c r="J131" t="s">
        <v>39</v>
      </c>
      <c r="K131">
        <v>0.75</v>
      </c>
      <c r="L131">
        <v>0.75</v>
      </c>
      <c r="M131" t="s">
        <v>18</v>
      </c>
    </row>
    <row r="132" spans="1:13" x14ac:dyDescent="0.25">
      <c r="A132" t="s">
        <v>192</v>
      </c>
      <c r="B132" t="s">
        <v>77</v>
      </c>
      <c r="C132" t="s">
        <v>13</v>
      </c>
      <c r="D132" t="str">
        <f>IF(Merge3[[#This Row],[State Association]]="International", "International","National")</f>
        <v>International</v>
      </c>
      <c r="E132">
        <v>33</v>
      </c>
      <c r="F132" t="str" cm="1">
        <f t="array" ref="F132">_xlfn.IFS(
E132&lt;20,"Below 20",
E132&lt;25,"20-25",
E132&lt;30,"25-30",
E132&lt;35,"30-35",
E132&gt;=35,"Above 35"
)</f>
        <v>30-35</v>
      </c>
      <c r="G132" t="s">
        <v>27</v>
      </c>
      <c r="H132" t="s">
        <v>15</v>
      </c>
      <c r="I132" t="s">
        <v>26</v>
      </c>
      <c r="J132" t="s">
        <v>30</v>
      </c>
      <c r="K132">
        <v>0.75</v>
      </c>
      <c r="L132">
        <v>0.75</v>
      </c>
      <c r="M132" t="s">
        <v>18</v>
      </c>
    </row>
    <row r="133" spans="1:13" x14ac:dyDescent="0.25">
      <c r="A133" t="s">
        <v>193</v>
      </c>
      <c r="B133" t="s">
        <v>34</v>
      </c>
      <c r="C133" t="s">
        <v>13</v>
      </c>
      <c r="D133" t="str">
        <f>IF(Merge3[[#This Row],[State Association]]="International", "International","National")</f>
        <v>International</v>
      </c>
      <c r="E133">
        <v>30</v>
      </c>
      <c r="F133" t="str" cm="1">
        <f t="array" ref="F133">_xlfn.IFS(
E133&lt;20,"Below 20",
E133&lt;25,"20-25",
E133&lt;30,"25-30",
E133&lt;35,"30-35",
E133&gt;=35,"Above 35"
)</f>
        <v>30-35</v>
      </c>
      <c r="G133" t="s">
        <v>23</v>
      </c>
      <c r="H133" t="s">
        <v>15</v>
      </c>
      <c r="I133" t="s">
        <v>46</v>
      </c>
      <c r="J133" t="s">
        <v>30</v>
      </c>
      <c r="K133">
        <v>1.25</v>
      </c>
      <c r="L133">
        <v>2</v>
      </c>
      <c r="M133" t="s">
        <v>18</v>
      </c>
    </row>
    <row r="134" spans="1:13" x14ac:dyDescent="0.25">
      <c r="A134" t="s">
        <v>194</v>
      </c>
      <c r="B134" t="s">
        <v>119</v>
      </c>
      <c r="C134" t="s">
        <v>13</v>
      </c>
      <c r="D134" t="str">
        <f>IF(Merge3[[#This Row],[State Association]]="International", "International","National")</f>
        <v>International</v>
      </c>
      <c r="E134">
        <v>25</v>
      </c>
      <c r="F134" t="str" cm="1">
        <f t="array" ref="F134">_xlfn.IFS(
E134&lt;20,"Below 20",
E134&lt;25,"20-25",
E134&lt;30,"25-30",
E134&lt;35,"30-35",
E134&gt;=35,"Above 35"
)</f>
        <v>25-30</v>
      </c>
      <c r="G134" t="s">
        <v>27</v>
      </c>
      <c r="H134" t="s">
        <v>15</v>
      </c>
      <c r="I134" t="s">
        <v>27</v>
      </c>
      <c r="J134" t="s">
        <v>30</v>
      </c>
      <c r="K134">
        <v>0.75</v>
      </c>
      <c r="L134">
        <v>0.75</v>
      </c>
      <c r="M134" t="s">
        <v>18</v>
      </c>
    </row>
    <row r="135" spans="1:13" x14ac:dyDescent="0.25">
      <c r="A135" t="s">
        <v>195</v>
      </c>
      <c r="B135" t="s">
        <v>20</v>
      </c>
      <c r="C135" t="s">
        <v>53</v>
      </c>
      <c r="D135" t="str">
        <f>IF(Merge3[[#This Row],[State Association]]="International", "International","National")</f>
        <v>National</v>
      </c>
      <c r="E135">
        <v>23</v>
      </c>
      <c r="F135" t="str" cm="1">
        <f t="array" ref="F135">_xlfn.IFS(
E135&lt;20,"Below 20",
E135&lt;25,"20-25",
E135&lt;30,"25-30",
E135&lt;35,"30-35",
E135&gt;=35,"Above 35"
)</f>
        <v>20-25</v>
      </c>
      <c r="G135" t="s">
        <v>69</v>
      </c>
      <c r="H135" t="s">
        <v>81</v>
      </c>
      <c r="I135" t="s">
        <v>48</v>
      </c>
      <c r="J135" t="s">
        <v>17</v>
      </c>
      <c r="K135">
        <v>0.3</v>
      </c>
      <c r="L135">
        <v>0.3</v>
      </c>
      <c r="M135" t="s">
        <v>18</v>
      </c>
    </row>
    <row r="136" spans="1:13" x14ac:dyDescent="0.25">
      <c r="A136" t="s">
        <v>196</v>
      </c>
      <c r="B136" t="s">
        <v>20</v>
      </c>
      <c r="C136" t="s">
        <v>21</v>
      </c>
      <c r="D136" t="str">
        <f>IF(Merge3[[#This Row],[State Association]]="International", "International","National")</f>
        <v>National</v>
      </c>
      <c r="E136">
        <v>20</v>
      </c>
      <c r="F136" t="str" cm="1">
        <f t="array" ref="F136">_xlfn.IFS(
E136&lt;20,"Below 20",
E136&lt;25,"20-25",
E136&lt;30,"25-30",
E136&lt;35,"30-35",
E136&gt;=35,"Above 35"
)</f>
        <v>20-25</v>
      </c>
      <c r="G136" t="s">
        <v>69</v>
      </c>
      <c r="H136" t="s">
        <v>81</v>
      </c>
      <c r="I136" t="s">
        <v>23</v>
      </c>
      <c r="J136" t="s">
        <v>39</v>
      </c>
      <c r="K136">
        <v>0.3</v>
      </c>
      <c r="L136">
        <v>0.3</v>
      </c>
      <c r="M136" t="s">
        <v>18</v>
      </c>
    </row>
    <row r="137" spans="1:13" x14ac:dyDescent="0.25">
      <c r="A137" t="s">
        <v>197</v>
      </c>
      <c r="B137" t="s">
        <v>20</v>
      </c>
      <c r="C137" t="s">
        <v>21</v>
      </c>
      <c r="D137" t="str">
        <f>IF(Merge3[[#This Row],[State Association]]="International", "International","National")</f>
        <v>National</v>
      </c>
      <c r="E137">
        <v>22</v>
      </c>
      <c r="F137" t="str" cm="1">
        <f t="array" ref="F137">_xlfn.IFS(
E137&lt;20,"Below 20",
E137&lt;25,"20-25",
E137&lt;30,"25-30",
E137&lt;35,"30-35",
E137&gt;=35,"Above 35"
)</f>
        <v>20-25</v>
      </c>
      <c r="G137" t="s">
        <v>69</v>
      </c>
      <c r="H137" t="s">
        <v>81</v>
      </c>
      <c r="I137" t="s">
        <v>23</v>
      </c>
      <c r="J137" t="s">
        <v>39</v>
      </c>
      <c r="K137">
        <v>0.3</v>
      </c>
      <c r="L137">
        <v>0.3</v>
      </c>
      <c r="M137" t="s">
        <v>18</v>
      </c>
    </row>
    <row r="138" spans="1:13" x14ac:dyDescent="0.25">
      <c r="A138" t="s">
        <v>198</v>
      </c>
      <c r="B138" t="s">
        <v>20</v>
      </c>
      <c r="C138" t="s">
        <v>53</v>
      </c>
      <c r="D138" t="str">
        <f>IF(Merge3[[#This Row],[State Association]]="International", "International","National")</f>
        <v>National</v>
      </c>
      <c r="E138">
        <v>33</v>
      </c>
      <c r="F138" t="str" cm="1">
        <f t="array" ref="F138">_xlfn.IFS(
E138&lt;20,"Below 20",
E138&lt;25,"20-25",
E138&lt;30,"25-30",
E138&lt;35,"30-35",
E138&gt;=35,"Above 35"
)</f>
        <v>30-35</v>
      </c>
      <c r="G138" t="s">
        <v>69</v>
      </c>
      <c r="H138" t="s">
        <v>81</v>
      </c>
      <c r="I138" t="s">
        <v>16</v>
      </c>
      <c r="J138" t="s">
        <v>30</v>
      </c>
      <c r="K138">
        <v>0.3</v>
      </c>
      <c r="L138">
        <v>0.3</v>
      </c>
      <c r="M138" t="s">
        <v>18</v>
      </c>
    </row>
    <row r="139" spans="1:13" x14ac:dyDescent="0.25">
      <c r="A139" t="s">
        <v>199</v>
      </c>
      <c r="B139" t="s">
        <v>20</v>
      </c>
      <c r="C139" t="s">
        <v>25</v>
      </c>
      <c r="D139" t="str">
        <f>IF(Merge3[[#This Row],[State Association]]="International", "International","National")</f>
        <v>National</v>
      </c>
      <c r="E139">
        <v>23</v>
      </c>
      <c r="F139" t="str" cm="1">
        <f t="array" ref="F139">_xlfn.IFS(
E139&lt;20,"Below 20",
E139&lt;25,"20-25",
E139&lt;30,"25-30",
E139&lt;35,"30-35",
E139&gt;=35,"Above 35"
)</f>
        <v>20-25</v>
      </c>
      <c r="G139" t="s">
        <v>69</v>
      </c>
      <c r="H139" t="s">
        <v>81</v>
      </c>
      <c r="I139" t="s">
        <v>27</v>
      </c>
      <c r="J139" t="s">
        <v>30</v>
      </c>
      <c r="K139">
        <v>0.3</v>
      </c>
      <c r="L139">
        <v>0.3</v>
      </c>
      <c r="M139" t="s">
        <v>18</v>
      </c>
    </row>
    <row r="140" spans="1:13" x14ac:dyDescent="0.25">
      <c r="A140" t="s">
        <v>200</v>
      </c>
      <c r="B140" t="s">
        <v>12</v>
      </c>
      <c r="C140" t="s">
        <v>13</v>
      </c>
      <c r="D140" t="str">
        <f>IF(Merge3[[#This Row],[State Association]]="International", "International","National")</f>
        <v>International</v>
      </c>
      <c r="E140">
        <v>41</v>
      </c>
      <c r="F140" t="str" cm="1">
        <f t="array" ref="F140">_xlfn.IFS(
E140&lt;20,"Below 20",
E140&lt;25,"20-25",
E140&lt;30,"25-30",
E140&lt;35,"30-35",
E140&gt;=35,"Above 35"
)</f>
        <v>Above 35</v>
      </c>
      <c r="G140" t="s">
        <v>69</v>
      </c>
      <c r="H140" t="s">
        <v>15</v>
      </c>
      <c r="I140" t="s">
        <v>46</v>
      </c>
      <c r="J140" t="s">
        <v>39</v>
      </c>
      <c r="K140">
        <v>1.5</v>
      </c>
      <c r="L140">
        <v>1.5</v>
      </c>
      <c r="M140" t="s">
        <v>18</v>
      </c>
    </row>
    <row r="141" spans="1:13" x14ac:dyDescent="0.25">
      <c r="A141" t="s">
        <v>201</v>
      </c>
      <c r="B141" t="s">
        <v>34</v>
      </c>
      <c r="C141" t="s">
        <v>13</v>
      </c>
      <c r="D141" t="str">
        <f>IF(Merge3[[#This Row],[State Association]]="International", "International","National")</f>
        <v>International</v>
      </c>
      <c r="E141">
        <v>26</v>
      </c>
      <c r="F141" t="str" cm="1">
        <f t="array" ref="F141">_xlfn.IFS(
E141&lt;20,"Below 20",
E141&lt;25,"20-25",
E141&lt;30,"25-30",
E141&lt;35,"30-35",
E141&gt;=35,"Above 35"
)</f>
        <v>25-30</v>
      </c>
      <c r="G141" t="s">
        <v>69</v>
      </c>
      <c r="H141" t="s">
        <v>15</v>
      </c>
      <c r="I141" t="s">
        <v>23</v>
      </c>
      <c r="J141" t="s">
        <v>30</v>
      </c>
      <c r="K141">
        <v>0.75</v>
      </c>
      <c r="L141">
        <v>0.8</v>
      </c>
      <c r="M141" t="s">
        <v>18</v>
      </c>
    </row>
    <row r="142" spans="1:13" x14ac:dyDescent="0.25">
      <c r="A142" t="s">
        <v>202</v>
      </c>
      <c r="B142" t="s">
        <v>20</v>
      </c>
      <c r="C142" t="s">
        <v>75</v>
      </c>
      <c r="D142" t="str">
        <f>IF(Merge3[[#This Row],[State Association]]="International", "International","National")</f>
        <v>National</v>
      </c>
      <c r="E142">
        <v>25</v>
      </c>
      <c r="F142" t="str" cm="1">
        <f t="array" ref="F142">_xlfn.IFS(
E142&lt;20,"Below 20",
E142&lt;25,"20-25",
E142&lt;30,"25-30",
E142&lt;35,"30-35",
E142&gt;=35,"Above 35"
)</f>
        <v>25-30</v>
      </c>
      <c r="G142" t="s">
        <v>69</v>
      </c>
      <c r="H142" t="s">
        <v>81</v>
      </c>
      <c r="I142" t="s">
        <v>46</v>
      </c>
      <c r="J142" t="s">
        <v>39</v>
      </c>
      <c r="K142">
        <v>0.3</v>
      </c>
      <c r="L142">
        <v>0.3</v>
      </c>
      <c r="M142" t="s">
        <v>18</v>
      </c>
    </row>
    <row r="143" spans="1:13" x14ac:dyDescent="0.25">
      <c r="A143" t="s">
        <v>203</v>
      </c>
      <c r="B143" t="s">
        <v>20</v>
      </c>
      <c r="C143" t="s">
        <v>90</v>
      </c>
      <c r="D143" t="str">
        <f>IF(Merge3[[#This Row],[State Association]]="International", "International","National")</f>
        <v>National</v>
      </c>
      <c r="E143">
        <v>28</v>
      </c>
      <c r="F143" t="str" cm="1">
        <f t="array" ref="F143">_xlfn.IFS(
E143&lt;20,"Below 20",
E143&lt;25,"20-25",
E143&lt;30,"25-30",
E143&lt;35,"30-35",
E143&gt;=35,"Above 35"
)</f>
        <v>25-30</v>
      </c>
      <c r="G143" t="s">
        <v>69</v>
      </c>
      <c r="H143" t="s">
        <v>81</v>
      </c>
      <c r="I143" t="s">
        <v>38</v>
      </c>
      <c r="J143" t="s">
        <v>30</v>
      </c>
      <c r="K143">
        <v>0.3</v>
      </c>
      <c r="L143">
        <v>0.3</v>
      </c>
      <c r="M143" t="s">
        <v>18</v>
      </c>
    </row>
    <row r="144" spans="1:13" x14ac:dyDescent="0.25">
      <c r="A144" t="s">
        <v>204</v>
      </c>
      <c r="B144" t="s">
        <v>60</v>
      </c>
      <c r="C144" t="s">
        <v>13</v>
      </c>
      <c r="D144" t="str">
        <f>IF(Merge3[[#This Row],[State Association]]="International", "International","National")</f>
        <v>International</v>
      </c>
      <c r="E144">
        <v>26</v>
      </c>
      <c r="F144" t="str" cm="1">
        <f t="array" ref="F144">_xlfn.IFS(
E144&lt;20,"Below 20",
E144&lt;25,"20-25",
E144&lt;30,"25-30",
E144&lt;35,"30-35",
E144&gt;=35,"Above 35"
)</f>
        <v>25-30</v>
      </c>
      <c r="G144" t="s">
        <v>69</v>
      </c>
      <c r="H144" t="s">
        <v>15</v>
      </c>
      <c r="I144" t="s">
        <v>16</v>
      </c>
      <c r="J144" t="s">
        <v>39</v>
      </c>
      <c r="K144">
        <v>0.75</v>
      </c>
      <c r="L144">
        <v>0.75</v>
      </c>
      <c r="M144" t="s">
        <v>18</v>
      </c>
    </row>
    <row r="145" spans="1:13" x14ac:dyDescent="0.25">
      <c r="A145" t="s">
        <v>205</v>
      </c>
      <c r="B145" t="s">
        <v>20</v>
      </c>
      <c r="C145" t="s">
        <v>141</v>
      </c>
      <c r="D145" t="str">
        <f>IF(Merge3[[#This Row],[State Association]]="International", "International","National")</f>
        <v>National</v>
      </c>
      <c r="E145">
        <v>24</v>
      </c>
      <c r="F145" t="str" cm="1">
        <f t="array" ref="F145">_xlfn.IFS(
E145&lt;20,"Below 20",
E145&lt;25,"20-25",
E145&lt;30,"25-30",
E145&lt;35,"30-35",
E145&gt;=35,"Above 35"
)</f>
        <v>20-25</v>
      </c>
      <c r="G145" t="s">
        <v>69</v>
      </c>
      <c r="H145" t="s">
        <v>81</v>
      </c>
      <c r="I145" t="s">
        <v>23</v>
      </c>
      <c r="J145" t="s">
        <v>17</v>
      </c>
      <c r="K145">
        <v>0.3</v>
      </c>
      <c r="L145">
        <v>0.3</v>
      </c>
      <c r="M145" t="s">
        <v>18</v>
      </c>
    </row>
    <row r="146" spans="1:13" x14ac:dyDescent="0.25">
      <c r="A146" t="s">
        <v>206</v>
      </c>
      <c r="B146" t="s">
        <v>20</v>
      </c>
      <c r="C146" t="s">
        <v>51</v>
      </c>
      <c r="D146" t="str">
        <f>IF(Merge3[[#This Row],[State Association]]="International", "International","National")</f>
        <v>National</v>
      </c>
      <c r="E146">
        <v>27</v>
      </c>
      <c r="F146" t="str" cm="1">
        <f t="array" ref="F146">_xlfn.IFS(
E146&lt;20,"Below 20",
E146&lt;25,"20-25",
E146&lt;30,"25-30",
E146&lt;35,"30-35",
E146&gt;=35,"Above 35"
)</f>
        <v>25-30</v>
      </c>
      <c r="G146" t="s">
        <v>69</v>
      </c>
      <c r="H146" t="s">
        <v>81</v>
      </c>
      <c r="I146" t="s">
        <v>46</v>
      </c>
      <c r="J146" t="s">
        <v>39</v>
      </c>
      <c r="K146">
        <v>0.3</v>
      </c>
      <c r="L146">
        <v>0.3</v>
      </c>
      <c r="M146" t="s">
        <v>18</v>
      </c>
    </row>
    <row r="147" spans="1:13" x14ac:dyDescent="0.25">
      <c r="A147" t="s">
        <v>207</v>
      </c>
      <c r="B147" t="s">
        <v>20</v>
      </c>
      <c r="C147" t="s">
        <v>75</v>
      </c>
      <c r="D147" t="str">
        <f>IF(Merge3[[#This Row],[State Association]]="International", "International","National")</f>
        <v>National</v>
      </c>
      <c r="E147">
        <v>22</v>
      </c>
      <c r="F147" t="str" cm="1">
        <f t="array" ref="F147">_xlfn.IFS(
E147&lt;20,"Below 20",
E147&lt;25,"20-25",
E147&lt;30,"25-30",
E147&lt;35,"30-35",
E147&gt;=35,"Above 35"
)</f>
        <v>20-25</v>
      </c>
      <c r="G147" t="s">
        <v>69</v>
      </c>
      <c r="H147" t="s">
        <v>81</v>
      </c>
      <c r="I147" t="s">
        <v>14</v>
      </c>
      <c r="J147" t="s">
        <v>30</v>
      </c>
      <c r="K147">
        <v>0.3</v>
      </c>
      <c r="L147">
        <v>0.3</v>
      </c>
      <c r="M147" t="s">
        <v>18</v>
      </c>
    </row>
    <row r="148" spans="1:13" x14ac:dyDescent="0.25">
      <c r="A148" t="s">
        <v>208</v>
      </c>
      <c r="B148" t="s">
        <v>20</v>
      </c>
      <c r="C148" t="s">
        <v>209</v>
      </c>
      <c r="D148" t="str">
        <f>IF(Merge3[[#This Row],[State Association]]="International", "International","National")</f>
        <v>National</v>
      </c>
      <c r="E148">
        <v>14</v>
      </c>
      <c r="F148" t="str" cm="1">
        <f t="array" ref="F148">_xlfn.IFS(
E148&lt;20,"Below 20",
E148&lt;25,"20-25",
E148&lt;30,"25-30",
E148&lt;35,"30-35",
E148&gt;=35,"Above 35"
)</f>
        <v>Below 20</v>
      </c>
      <c r="G148" t="s">
        <v>69</v>
      </c>
      <c r="H148" t="s">
        <v>81</v>
      </c>
      <c r="I148" t="s">
        <v>14</v>
      </c>
      <c r="J148" t="s">
        <v>17</v>
      </c>
      <c r="K148">
        <v>0.3</v>
      </c>
      <c r="L148">
        <v>1.1000000000000001</v>
      </c>
      <c r="M148" t="s">
        <v>18</v>
      </c>
    </row>
    <row r="149" spans="1:13" x14ac:dyDescent="0.25">
      <c r="A149" t="s">
        <v>210</v>
      </c>
      <c r="B149" t="s">
        <v>77</v>
      </c>
      <c r="C149" t="s">
        <v>13</v>
      </c>
      <c r="D149" t="str">
        <f>IF(Merge3[[#This Row],[State Association]]="International", "International","National")</f>
        <v>International</v>
      </c>
      <c r="E149">
        <v>24</v>
      </c>
      <c r="F149" t="str" cm="1">
        <f t="array" ref="F149">_xlfn.IFS(
E149&lt;20,"Below 20",
E149&lt;25,"20-25",
E149&lt;30,"25-30",
E149&lt;35,"30-35",
E149&gt;=35,"Above 35"
)</f>
        <v>20-25</v>
      </c>
      <c r="G149" t="s">
        <v>69</v>
      </c>
      <c r="H149" t="s">
        <v>81</v>
      </c>
      <c r="I149" t="s">
        <v>48</v>
      </c>
      <c r="J149" t="s">
        <v>30</v>
      </c>
      <c r="K149">
        <v>0.3</v>
      </c>
      <c r="L149">
        <v>1.2</v>
      </c>
      <c r="M149" t="s">
        <v>18</v>
      </c>
    </row>
    <row r="150" spans="1:13" x14ac:dyDescent="0.25">
      <c r="A150" t="s">
        <v>211</v>
      </c>
      <c r="B150" t="s">
        <v>20</v>
      </c>
      <c r="C150" t="s">
        <v>141</v>
      </c>
      <c r="D150" t="str">
        <f>IF(Merge3[[#This Row],[State Association]]="International", "International","National")</f>
        <v>National</v>
      </c>
      <c r="E150">
        <v>23</v>
      </c>
      <c r="F150" t="str" cm="1">
        <f t="array" ref="F150">_xlfn.IFS(
E150&lt;20,"Below 20",
E150&lt;25,"20-25",
E150&lt;30,"25-30",
E150&lt;35,"30-35",
E150&gt;=35,"Above 35"
)</f>
        <v>20-25</v>
      </c>
      <c r="G150" t="s">
        <v>69</v>
      </c>
      <c r="H150" t="s">
        <v>81</v>
      </c>
      <c r="I150" t="s">
        <v>26</v>
      </c>
      <c r="J150" t="s">
        <v>39</v>
      </c>
      <c r="K150">
        <v>0.3</v>
      </c>
      <c r="L150">
        <v>0.3</v>
      </c>
      <c r="M150" t="s">
        <v>18</v>
      </c>
    </row>
    <row r="151" spans="1:13" x14ac:dyDescent="0.25">
      <c r="A151" t="s">
        <v>212</v>
      </c>
      <c r="B151" t="s">
        <v>20</v>
      </c>
      <c r="C151" t="s">
        <v>53</v>
      </c>
      <c r="D151" t="str">
        <f>IF(Merge3[[#This Row],[State Association]]="International", "International","National")</f>
        <v>National</v>
      </c>
      <c r="E151">
        <v>21</v>
      </c>
      <c r="F151" t="str" cm="1">
        <f t="array" ref="F151">_xlfn.IFS(
E151&lt;20,"Below 20",
E151&lt;25,"20-25",
E151&lt;30,"25-30",
E151&lt;35,"30-35",
E151&gt;=35,"Above 35"
)</f>
        <v>20-25</v>
      </c>
      <c r="G151" t="s">
        <v>69</v>
      </c>
      <c r="H151" t="s">
        <v>81</v>
      </c>
      <c r="I151" t="s">
        <v>26</v>
      </c>
      <c r="J151" t="s">
        <v>39</v>
      </c>
      <c r="K151">
        <v>0.3</v>
      </c>
      <c r="L151">
        <v>0.4</v>
      </c>
      <c r="M151" t="s">
        <v>18</v>
      </c>
    </row>
    <row r="152" spans="1:13" x14ac:dyDescent="0.25">
      <c r="A152" t="s">
        <v>213</v>
      </c>
      <c r="B152" t="s">
        <v>20</v>
      </c>
      <c r="C152" t="s">
        <v>104</v>
      </c>
      <c r="D152" t="str">
        <f>IF(Merge3[[#This Row],[State Association]]="International", "International","National")</f>
        <v>National</v>
      </c>
      <c r="E152">
        <v>24</v>
      </c>
      <c r="F152" t="str" cm="1">
        <f t="array" ref="F152">_xlfn.IFS(
E152&lt;20,"Below 20",
E152&lt;25,"20-25",
E152&lt;30,"25-30",
E152&lt;35,"30-35",
E152&gt;=35,"Above 35"
)</f>
        <v>20-25</v>
      </c>
      <c r="G152" t="s">
        <v>69</v>
      </c>
      <c r="H152" t="s">
        <v>81</v>
      </c>
      <c r="I152" t="s">
        <v>63</v>
      </c>
      <c r="J152" t="s">
        <v>39</v>
      </c>
      <c r="K152">
        <v>0.3</v>
      </c>
      <c r="L152">
        <v>0.3</v>
      </c>
      <c r="M152" t="s">
        <v>18</v>
      </c>
    </row>
    <row r="153" spans="1:13" x14ac:dyDescent="0.25">
      <c r="A153" t="s">
        <v>214</v>
      </c>
      <c r="B153" t="s">
        <v>20</v>
      </c>
      <c r="C153" t="s">
        <v>215</v>
      </c>
      <c r="D153" t="str">
        <f>IF(Merge3[[#This Row],[State Association]]="International", "International","National")</f>
        <v>National</v>
      </c>
      <c r="E153">
        <v>37</v>
      </c>
      <c r="F153" t="str" cm="1">
        <f t="array" ref="F153">_xlfn.IFS(
E153&lt;20,"Below 20",
E153&lt;25,"20-25",
E153&lt;30,"25-30",
E153&lt;35,"30-35",
E153&gt;=35,"Above 35"
)</f>
        <v>Above 35</v>
      </c>
      <c r="G153" t="s">
        <v>38</v>
      </c>
      <c r="H153" t="s">
        <v>15</v>
      </c>
      <c r="I153" t="s">
        <v>38</v>
      </c>
      <c r="J153" t="s">
        <v>17</v>
      </c>
      <c r="K153" t="s">
        <v>216</v>
      </c>
      <c r="L153">
        <v>21</v>
      </c>
      <c r="M153" t="s">
        <v>217</v>
      </c>
    </row>
    <row r="154" spans="1:13" x14ac:dyDescent="0.25">
      <c r="A154" t="s">
        <v>218</v>
      </c>
      <c r="B154" t="s">
        <v>20</v>
      </c>
      <c r="C154" t="s">
        <v>215</v>
      </c>
      <c r="D154" t="str">
        <f>IF(Merge3[[#This Row],[State Association]]="International", "International","National")</f>
        <v>National</v>
      </c>
      <c r="E154">
        <v>33</v>
      </c>
      <c r="F154" t="str" cm="1">
        <f t="array" ref="F154">_xlfn.IFS(
E154&lt;20,"Below 20",
E154&lt;25,"20-25",
E154&lt;30,"25-30",
E154&lt;35,"30-35",
E154&gt;=35,"Above 35"
)</f>
        <v>30-35</v>
      </c>
      <c r="G154" t="s">
        <v>38</v>
      </c>
      <c r="H154" t="s">
        <v>15</v>
      </c>
      <c r="I154" t="s">
        <v>38</v>
      </c>
      <c r="J154" t="s">
        <v>17</v>
      </c>
      <c r="K154" t="s">
        <v>216</v>
      </c>
      <c r="L154">
        <v>11</v>
      </c>
      <c r="M154" t="s">
        <v>217</v>
      </c>
    </row>
    <row r="155" spans="1:13" x14ac:dyDescent="0.25">
      <c r="A155" t="s">
        <v>219</v>
      </c>
      <c r="B155" t="s">
        <v>20</v>
      </c>
      <c r="C155" t="s">
        <v>215</v>
      </c>
      <c r="D155" t="str">
        <f>IF(Merge3[[#This Row],[State Association]]="International", "International","National")</f>
        <v>National</v>
      </c>
      <c r="E155">
        <v>28</v>
      </c>
      <c r="F155" t="str" cm="1">
        <f t="array" ref="F155">_xlfn.IFS(
E155&lt;20,"Below 20",
E155&lt;25,"20-25",
E155&lt;30,"25-30",
E155&lt;35,"30-35",
E155&gt;=35,"Above 35"
)</f>
        <v>25-30</v>
      </c>
      <c r="G155" t="s">
        <v>38</v>
      </c>
      <c r="H155" t="s">
        <v>81</v>
      </c>
      <c r="I155" t="s">
        <v>38</v>
      </c>
      <c r="J155" t="s">
        <v>30</v>
      </c>
      <c r="K155" t="s">
        <v>216</v>
      </c>
      <c r="L155">
        <v>5</v>
      </c>
      <c r="M155" t="s">
        <v>217</v>
      </c>
    </row>
    <row r="156" spans="1:13" x14ac:dyDescent="0.25">
      <c r="A156" t="s">
        <v>220</v>
      </c>
      <c r="B156" t="s">
        <v>20</v>
      </c>
      <c r="C156" t="s">
        <v>215</v>
      </c>
      <c r="D156" t="str">
        <f>IF(Merge3[[#This Row],[State Association]]="International", "International","National")</f>
        <v>National</v>
      </c>
      <c r="E156">
        <v>32</v>
      </c>
      <c r="F156" t="str" cm="1">
        <f t="array" ref="F156">_xlfn.IFS(
E156&lt;20,"Below 20",
E156&lt;25,"20-25",
E156&lt;30,"25-30",
E156&lt;35,"30-35",
E156&gt;=35,"Above 35"
)</f>
        <v>30-35</v>
      </c>
      <c r="G156" t="s">
        <v>63</v>
      </c>
      <c r="H156" t="s">
        <v>15</v>
      </c>
      <c r="I156" t="s">
        <v>63</v>
      </c>
      <c r="J156" t="s">
        <v>30</v>
      </c>
      <c r="K156" t="s">
        <v>216</v>
      </c>
      <c r="L156">
        <v>18</v>
      </c>
      <c r="M156" t="s">
        <v>217</v>
      </c>
    </row>
    <row r="157" spans="1:13" x14ac:dyDescent="0.25">
      <c r="A157" t="s">
        <v>221</v>
      </c>
      <c r="B157" t="s">
        <v>20</v>
      </c>
      <c r="C157" t="s">
        <v>215</v>
      </c>
      <c r="D157" t="str">
        <f>IF(Merge3[[#This Row],[State Association]]="International", "International","National")</f>
        <v>National</v>
      </c>
      <c r="E157">
        <v>35</v>
      </c>
      <c r="F157" t="str" cm="1">
        <f t="array" ref="F157">_xlfn.IFS(
E157&lt;20,"Below 20",
E157&lt;25,"20-25",
E157&lt;30,"25-30",
E157&lt;35,"30-35",
E157&gt;=35,"Above 35"
)</f>
        <v>Above 35</v>
      </c>
      <c r="G157" t="s">
        <v>63</v>
      </c>
      <c r="H157" t="s">
        <v>15</v>
      </c>
      <c r="I157" t="s">
        <v>63</v>
      </c>
      <c r="J157" t="s">
        <v>17</v>
      </c>
      <c r="K157" t="s">
        <v>216</v>
      </c>
      <c r="L157">
        <v>16.350000000000001</v>
      </c>
      <c r="M157" t="s">
        <v>217</v>
      </c>
    </row>
    <row r="158" spans="1:13" x14ac:dyDescent="0.25">
      <c r="A158" t="s">
        <v>222</v>
      </c>
      <c r="B158" t="s">
        <v>20</v>
      </c>
      <c r="C158" t="s">
        <v>215</v>
      </c>
      <c r="D158" t="str">
        <f>IF(Merge3[[#This Row],[State Association]]="International", "International","National")</f>
        <v>National</v>
      </c>
      <c r="E158">
        <v>33</v>
      </c>
      <c r="F158" t="str" cm="1">
        <f t="array" ref="F158">_xlfn.IFS(
E158&lt;20,"Below 20",
E158&lt;25,"20-25",
E158&lt;30,"25-30",
E158&lt;35,"30-35",
E158&gt;=35,"Above 35"
)</f>
        <v>30-35</v>
      </c>
      <c r="G158" t="s">
        <v>63</v>
      </c>
      <c r="H158" t="s">
        <v>15</v>
      </c>
      <c r="I158" t="s">
        <v>63</v>
      </c>
      <c r="J158" t="s">
        <v>39</v>
      </c>
      <c r="K158" t="s">
        <v>216</v>
      </c>
      <c r="L158">
        <v>16.350000000000001</v>
      </c>
      <c r="M158" t="s">
        <v>217</v>
      </c>
    </row>
    <row r="159" spans="1:13" x14ac:dyDescent="0.25">
      <c r="A159" t="s">
        <v>223</v>
      </c>
      <c r="B159" t="s">
        <v>20</v>
      </c>
      <c r="C159" t="s">
        <v>215</v>
      </c>
      <c r="D159" t="str">
        <f>IF(Merge3[[#This Row],[State Association]]="International", "International","National")</f>
        <v>National</v>
      </c>
      <c r="E159">
        <v>39</v>
      </c>
      <c r="F159" t="str" cm="1">
        <f t="array" ref="F159">_xlfn.IFS(
E159&lt;20,"Below 20",
E159&lt;25,"20-25",
E159&lt;30,"25-30",
E159&lt;35,"30-35",
E159&gt;=35,"Above 35"
)</f>
        <v>Above 35</v>
      </c>
      <c r="G159" t="s">
        <v>63</v>
      </c>
      <c r="H159" t="s">
        <v>15</v>
      </c>
      <c r="I159" t="s">
        <v>63</v>
      </c>
      <c r="J159" t="s">
        <v>17</v>
      </c>
      <c r="K159" t="s">
        <v>216</v>
      </c>
      <c r="L159">
        <v>16.3</v>
      </c>
      <c r="M159" t="s">
        <v>217</v>
      </c>
    </row>
    <row r="160" spans="1:13" x14ac:dyDescent="0.25">
      <c r="A160" t="s">
        <v>224</v>
      </c>
      <c r="B160" t="s">
        <v>20</v>
      </c>
      <c r="C160" t="s">
        <v>215</v>
      </c>
      <c r="D160" t="str">
        <f>IF(Merge3[[#This Row],[State Association]]="International", "International","National")</f>
        <v>National</v>
      </c>
      <c r="E160">
        <v>23</v>
      </c>
      <c r="F160" t="str" cm="1">
        <f t="array" ref="F160">_xlfn.IFS(
E160&lt;20,"Below 20",
E160&lt;25,"20-25",
E160&lt;30,"25-30",
E160&lt;35,"30-35",
E160&gt;=35,"Above 35"
)</f>
        <v>20-25</v>
      </c>
      <c r="G160" t="s">
        <v>63</v>
      </c>
      <c r="H160" t="s">
        <v>15</v>
      </c>
      <c r="I160" t="s">
        <v>63</v>
      </c>
      <c r="J160" t="s">
        <v>39</v>
      </c>
      <c r="K160" t="s">
        <v>216</v>
      </c>
      <c r="L160">
        <v>8</v>
      </c>
      <c r="M160" t="s">
        <v>217</v>
      </c>
    </row>
    <row r="161" spans="1:13" x14ac:dyDescent="0.25">
      <c r="A161" t="s">
        <v>225</v>
      </c>
      <c r="B161" t="s">
        <v>29</v>
      </c>
      <c r="C161" t="s">
        <v>13</v>
      </c>
      <c r="D161" t="str">
        <f>IF(Merge3[[#This Row],[State Association]]="International", "International","National")</f>
        <v>International</v>
      </c>
      <c r="E161">
        <v>34</v>
      </c>
      <c r="F161" t="str" cm="1">
        <f t="array" ref="F161">_xlfn.IFS(
E161&lt;20,"Below 20",
E161&lt;25,"20-25",
E161&lt;30,"25-30",
E161&lt;35,"30-35",
E161&gt;=35,"Above 35"
)</f>
        <v>30-35</v>
      </c>
      <c r="G161" t="s">
        <v>48</v>
      </c>
      <c r="H161" t="s">
        <v>15</v>
      </c>
      <c r="I161" t="s">
        <v>48</v>
      </c>
      <c r="J161" t="s">
        <v>17</v>
      </c>
      <c r="K161" t="s">
        <v>216</v>
      </c>
      <c r="L161">
        <v>23</v>
      </c>
      <c r="M161" t="s">
        <v>217</v>
      </c>
    </row>
    <row r="162" spans="1:13" x14ac:dyDescent="0.25">
      <c r="A162" t="s">
        <v>226</v>
      </c>
      <c r="B162" t="s">
        <v>34</v>
      </c>
      <c r="C162" t="s">
        <v>13</v>
      </c>
      <c r="D162" t="str">
        <f>IF(Merge3[[#This Row],[State Association]]="International", "International","National")</f>
        <v>International</v>
      </c>
      <c r="E162">
        <v>33</v>
      </c>
      <c r="F162" t="str" cm="1">
        <f t="array" ref="F162">_xlfn.IFS(
E162&lt;20,"Below 20",
E162&lt;25,"20-25",
E162&lt;30,"25-30",
E162&lt;35,"30-35",
E162&gt;=35,"Above 35"
)</f>
        <v>30-35</v>
      </c>
      <c r="G162" t="s">
        <v>48</v>
      </c>
      <c r="H162" t="s">
        <v>15</v>
      </c>
      <c r="I162" t="s">
        <v>48</v>
      </c>
      <c r="J162" t="s">
        <v>39</v>
      </c>
      <c r="K162" t="s">
        <v>216</v>
      </c>
      <c r="L162">
        <v>18</v>
      </c>
      <c r="M162" t="s">
        <v>217</v>
      </c>
    </row>
    <row r="163" spans="1:13" x14ac:dyDescent="0.25">
      <c r="A163" t="s">
        <v>227</v>
      </c>
      <c r="B163" t="s">
        <v>20</v>
      </c>
      <c r="C163" t="s">
        <v>215</v>
      </c>
      <c r="D163" t="str">
        <f>IF(Merge3[[#This Row],[State Association]]="International", "International","National")</f>
        <v>National</v>
      </c>
      <c r="E163">
        <v>25</v>
      </c>
      <c r="F163" t="str" cm="1">
        <f t="array" ref="F163">_xlfn.IFS(
E163&lt;20,"Below 20",
E163&lt;25,"20-25",
E163&lt;30,"25-30",
E163&lt;35,"30-35",
E163&gt;=35,"Above 35"
)</f>
        <v>25-30</v>
      </c>
      <c r="G163" t="s">
        <v>48</v>
      </c>
      <c r="H163" t="s">
        <v>15</v>
      </c>
      <c r="I163" t="s">
        <v>48</v>
      </c>
      <c r="J163" t="s">
        <v>39</v>
      </c>
      <c r="K163" t="s">
        <v>216</v>
      </c>
      <c r="L163">
        <v>14</v>
      </c>
      <c r="M163" t="s">
        <v>217</v>
      </c>
    </row>
    <row r="164" spans="1:13" x14ac:dyDescent="0.25">
      <c r="A164" t="s">
        <v>228</v>
      </c>
      <c r="B164" t="s">
        <v>34</v>
      </c>
      <c r="C164" t="s">
        <v>13</v>
      </c>
      <c r="D164" t="str">
        <f>IF(Merge3[[#This Row],[State Association]]="International", "International","National")</f>
        <v>International</v>
      </c>
      <c r="E164">
        <v>32</v>
      </c>
      <c r="F164" t="str" cm="1">
        <f t="array" ref="F164">_xlfn.IFS(
E164&lt;20,"Below 20",
E164&lt;25,"20-25",
E164&lt;30,"25-30",
E164&lt;35,"30-35",
E164&gt;=35,"Above 35"
)</f>
        <v>30-35</v>
      </c>
      <c r="G164" t="s">
        <v>48</v>
      </c>
      <c r="H164" t="s">
        <v>15</v>
      </c>
      <c r="I164" t="s">
        <v>48</v>
      </c>
      <c r="J164" t="s">
        <v>17</v>
      </c>
      <c r="K164" t="s">
        <v>216</v>
      </c>
      <c r="L164">
        <v>14</v>
      </c>
      <c r="M164" t="s">
        <v>217</v>
      </c>
    </row>
    <row r="165" spans="1:13" x14ac:dyDescent="0.25">
      <c r="A165" t="s">
        <v>229</v>
      </c>
      <c r="B165" t="s">
        <v>20</v>
      </c>
      <c r="C165" t="s">
        <v>215</v>
      </c>
      <c r="D165" t="str">
        <f>IF(Merge3[[#This Row],[State Association]]="International", "International","National")</f>
        <v>National</v>
      </c>
      <c r="E165">
        <v>23</v>
      </c>
      <c r="F165" t="str" cm="1">
        <f t="array" ref="F165">_xlfn.IFS(
E165&lt;20,"Below 20",
E165&lt;25,"20-25",
E165&lt;30,"25-30",
E165&lt;35,"30-35",
E165&gt;=35,"Above 35"
)</f>
        <v>20-25</v>
      </c>
      <c r="G165" t="s">
        <v>48</v>
      </c>
      <c r="H165" t="s">
        <v>15</v>
      </c>
      <c r="I165" t="s">
        <v>48</v>
      </c>
      <c r="J165" t="s">
        <v>39</v>
      </c>
      <c r="K165" t="s">
        <v>216</v>
      </c>
      <c r="L165">
        <v>6</v>
      </c>
      <c r="M165" t="s">
        <v>217</v>
      </c>
    </row>
    <row r="166" spans="1:13" x14ac:dyDescent="0.25">
      <c r="A166" t="s">
        <v>230</v>
      </c>
      <c r="B166" t="s">
        <v>20</v>
      </c>
      <c r="C166" t="s">
        <v>215</v>
      </c>
      <c r="D166" t="str">
        <f>IF(Merge3[[#This Row],[State Association]]="International", "International","National")</f>
        <v>National</v>
      </c>
      <c r="E166">
        <v>29</v>
      </c>
      <c r="F166" t="str" cm="1">
        <f t="array" ref="F166">_xlfn.IFS(
E166&lt;20,"Below 20",
E166&lt;25,"20-25",
E166&lt;30,"25-30",
E166&lt;35,"30-35",
E166&gt;=35,"Above 35"
)</f>
        <v>25-30</v>
      </c>
      <c r="G166" t="s">
        <v>46</v>
      </c>
      <c r="H166" t="s">
        <v>15</v>
      </c>
      <c r="I166" t="s">
        <v>46</v>
      </c>
      <c r="J166" t="s">
        <v>17</v>
      </c>
      <c r="K166" t="s">
        <v>216</v>
      </c>
      <c r="L166">
        <v>18</v>
      </c>
      <c r="M166" t="s">
        <v>217</v>
      </c>
    </row>
    <row r="167" spans="1:13" x14ac:dyDescent="0.25">
      <c r="A167" t="s">
        <v>231</v>
      </c>
      <c r="B167" t="s">
        <v>20</v>
      </c>
      <c r="C167" t="s">
        <v>215</v>
      </c>
      <c r="D167" t="str">
        <f>IF(Merge3[[#This Row],[State Association]]="International", "International","National")</f>
        <v>National</v>
      </c>
      <c r="E167">
        <v>37</v>
      </c>
      <c r="F167" t="str" cm="1">
        <f t="array" ref="F167">_xlfn.IFS(
E167&lt;20,"Below 20",
E167&lt;25,"20-25",
E167&lt;30,"25-30",
E167&lt;35,"30-35",
E167&gt;=35,"Above 35"
)</f>
        <v>Above 35</v>
      </c>
      <c r="G167" t="s">
        <v>46</v>
      </c>
      <c r="H167" t="s">
        <v>15</v>
      </c>
      <c r="I167" t="s">
        <v>46</v>
      </c>
      <c r="J167" t="s">
        <v>39</v>
      </c>
      <c r="K167" t="s">
        <v>216</v>
      </c>
      <c r="L167">
        <v>18</v>
      </c>
      <c r="M167" t="s">
        <v>217</v>
      </c>
    </row>
    <row r="168" spans="1:13" x14ac:dyDescent="0.25">
      <c r="A168" t="s">
        <v>232</v>
      </c>
      <c r="B168" t="s">
        <v>77</v>
      </c>
      <c r="C168" t="s">
        <v>13</v>
      </c>
      <c r="D168" t="str">
        <f>IF(Merge3[[#This Row],[State Association]]="International", "International","National")</f>
        <v>International</v>
      </c>
      <c r="E168">
        <v>23</v>
      </c>
      <c r="F168" t="str" cm="1">
        <f t="array" ref="F168">_xlfn.IFS(
E168&lt;20,"Below 20",
E168&lt;25,"20-25",
E168&lt;30,"25-30",
E168&lt;35,"30-35",
E168&gt;=35,"Above 35"
)</f>
        <v>20-25</v>
      </c>
      <c r="G168" t="s">
        <v>46</v>
      </c>
      <c r="H168" t="s">
        <v>15</v>
      </c>
      <c r="I168" t="s">
        <v>46</v>
      </c>
      <c r="J168" t="s">
        <v>30</v>
      </c>
      <c r="K168" t="s">
        <v>216</v>
      </c>
      <c r="L168">
        <v>13</v>
      </c>
      <c r="M168" t="s">
        <v>217</v>
      </c>
    </row>
    <row r="169" spans="1:13" x14ac:dyDescent="0.25">
      <c r="A169" t="s">
        <v>233</v>
      </c>
      <c r="B169" t="s">
        <v>20</v>
      </c>
      <c r="C169" t="s">
        <v>215</v>
      </c>
      <c r="D169" t="str">
        <f>IF(Merge3[[#This Row],[State Association]]="International", "International","National")</f>
        <v>National</v>
      </c>
      <c r="E169">
        <v>33</v>
      </c>
      <c r="F169" t="str" cm="1">
        <f t="array" ref="F169">_xlfn.IFS(
E169&lt;20,"Below 20",
E169&lt;25,"20-25",
E169&lt;30,"25-30",
E169&lt;35,"30-35",
E169&gt;=35,"Above 35"
)</f>
        <v>30-35</v>
      </c>
      <c r="G169" t="s">
        <v>46</v>
      </c>
      <c r="H169" t="s">
        <v>15</v>
      </c>
      <c r="I169" t="s">
        <v>46</v>
      </c>
      <c r="J169" t="s">
        <v>39</v>
      </c>
      <c r="K169" t="s">
        <v>216</v>
      </c>
      <c r="L169">
        <v>12</v>
      </c>
      <c r="M169" t="s">
        <v>217</v>
      </c>
    </row>
    <row r="170" spans="1:13" x14ac:dyDescent="0.25">
      <c r="A170" t="s">
        <v>234</v>
      </c>
      <c r="B170" t="s">
        <v>20</v>
      </c>
      <c r="C170" t="s">
        <v>215</v>
      </c>
      <c r="D170" t="str">
        <f>IF(Merge3[[#This Row],[State Association]]="International", "International","National")</f>
        <v>National</v>
      </c>
      <c r="E170">
        <v>44</v>
      </c>
      <c r="F170" t="str" cm="1">
        <f t="array" ref="F170">_xlfn.IFS(
E170&lt;20,"Below 20",
E170&lt;25,"20-25",
E170&lt;30,"25-30",
E170&lt;35,"30-35",
E170&gt;=35,"Above 35"
)</f>
        <v>Above 35</v>
      </c>
      <c r="G170" t="s">
        <v>46</v>
      </c>
      <c r="H170" t="s">
        <v>15</v>
      </c>
      <c r="I170" t="s">
        <v>46</v>
      </c>
      <c r="J170" t="s">
        <v>17</v>
      </c>
      <c r="K170" t="s">
        <v>216</v>
      </c>
      <c r="L170">
        <v>4</v>
      </c>
      <c r="M170" t="s">
        <v>217</v>
      </c>
    </row>
    <row r="171" spans="1:13" x14ac:dyDescent="0.25">
      <c r="A171" t="s">
        <v>235</v>
      </c>
      <c r="B171" t="s">
        <v>20</v>
      </c>
      <c r="C171" t="s">
        <v>215</v>
      </c>
      <c r="D171" t="str">
        <f>IF(Merge3[[#This Row],[State Association]]="International", "International","National")</f>
        <v>National</v>
      </c>
      <c r="E171">
        <v>32</v>
      </c>
      <c r="F171" t="str" cm="1">
        <f t="array" ref="F171">_xlfn.IFS(
E171&lt;20,"Below 20",
E171&lt;25,"20-25",
E171&lt;30,"25-30",
E171&lt;35,"30-35",
E171&gt;=35,"Above 35"
)</f>
        <v>30-35</v>
      </c>
      <c r="G171" t="s">
        <v>26</v>
      </c>
      <c r="H171" t="s">
        <v>15</v>
      </c>
      <c r="I171" t="s">
        <v>26</v>
      </c>
      <c r="J171" t="s">
        <v>39</v>
      </c>
      <c r="K171" t="s">
        <v>216</v>
      </c>
      <c r="L171">
        <v>16.5</v>
      </c>
      <c r="M171" t="s">
        <v>217</v>
      </c>
    </row>
    <row r="172" spans="1:13" x14ac:dyDescent="0.25">
      <c r="A172" t="s">
        <v>236</v>
      </c>
      <c r="B172" t="s">
        <v>20</v>
      </c>
      <c r="C172" t="s">
        <v>215</v>
      </c>
      <c r="D172" t="str">
        <f>IF(Merge3[[#This Row],[State Association]]="International", "International","National")</f>
        <v>National</v>
      </c>
      <c r="E172">
        <v>31</v>
      </c>
      <c r="F172" t="str" cm="1">
        <f t="array" ref="F172">_xlfn.IFS(
E172&lt;20,"Below 20",
E172&lt;25,"20-25",
E172&lt;30,"25-30",
E172&lt;35,"30-35",
E172&gt;=35,"Above 35"
)</f>
        <v>30-35</v>
      </c>
      <c r="G172" t="s">
        <v>26</v>
      </c>
      <c r="H172" t="s">
        <v>15</v>
      </c>
      <c r="I172" t="s">
        <v>26</v>
      </c>
      <c r="J172" t="s">
        <v>30</v>
      </c>
      <c r="K172" t="s">
        <v>216</v>
      </c>
      <c r="L172">
        <v>13.25</v>
      </c>
      <c r="M172" t="s">
        <v>217</v>
      </c>
    </row>
    <row r="173" spans="1:13" x14ac:dyDescent="0.25">
      <c r="A173" t="s">
        <v>237</v>
      </c>
      <c r="B173" t="s">
        <v>29</v>
      </c>
      <c r="C173" t="s">
        <v>13</v>
      </c>
      <c r="D173" t="str">
        <f>IF(Merge3[[#This Row],[State Association]]="International", "International","National")</f>
        <v>International</v>
      </c>
      <c r="E173">
        <v>25</v>
      </c>
      <c r="F173" t="str" cm="1">
        <f t="array" ref="F173">_xlfn.IFS(
E173&lt;20,"Below 20",
E173&lt;25,"20-25",
E173&lt;30,"25-30",
E173&lt;35,"30-35",
E173&gt;=35,"Above 35"
)</f>
        <v>25-30</v>
      </c>
      <c r="G173" t="s">
        <v>26</v>
      </c>
      <c r="H173" t="s">
        <v>15</v>
      </c>
      <c r="I173" t="s">
        <v>26</v>
      </c>
      <c r="J173" t="s">
        <v>17</v>
      </c>
      <c r="K173" t="s">
        <v>216</v>
      </c>
      <c r="L173">
        <v>10</v>
      </c>
      <c r="M173" t="s">
        <v>217</v>
      </c>
    </row>
    <row r="174" spans="1:13" x14ac:dyDescent="0.25">
      <c r="A174" t="s">
        <v>238</v>
      </c>
      <c r="B174" t="s">
        <v>20</v>
      </c>
      <c r="C174" t="s">
        <v>215</v>
      </c>
      <c r="D174" t="str">
        <f>IF(Merge3[[#This Row],[State Association]]="International", "International","National")</f>
        <v>National</v>
      </c>
      <c r="E174">
        <v>23</v>
      </c>
      <c r="F174" t="str" cm="1">
        <f t="array" ref="F174">_xlfn.IFS(
E174&lt;20,"Below 20",
E174&lt;25,"20-25",
E174&lt;30,"25-30",
E174&lt;35,"30-35",
E174&gt;=35,"Above 35"
)</f>
        <v>20-25</v>
      </c>
      <c r="G174" t="s">
        <v>26</v>
      </c>
      <c r="H174" t="s">
        <v>81</v>
      </c>
      <c r="I174" t="s">
        <v>26</v>
      </c>
      <c r="J174" t="s">
        <v>17</v>
      </c>
      <c r="K174" t="s">
        <v>216</v>
      </c>
      <c r="L174">
        <v>4</v>
      </c>
      <c r="M174" t="s">
        <v>217</v>
      </c>
    </row>
    <row r="175" spans="1:13" x14ac:dyDescent="0.25">
      <c r="A175" t="s">
        <v>239</v>
      </c>
      <c r="B175" t="s">
        <v>20</v>
      </c>
      <c r="C175" t="s">
        <v>215</v>
      </c>
      <c r="D175" t="str">
        <f>IF(Merge3[[#This Row],[State Association]]="International", "International","National")</f>
        <v>National</v>
      </c>
      <c r="E175">
        <v>28</v>
      </c>
      <c r="F175" t="str" cm="1">
        <f t="array" ref="F175">_xlfn.IFS(
E175&lt;20,"Below 20",
E175&lt;25,"20-25",
E175&lt;30,"25-30",
E175&lt;35,"30-35",
E175&gt;=35,"Above 35"
)</f>
        <v>25-30</v>
      </c>
      <c r="G175" t="s">
        <v>22</v>
      </c>
      <c r="H175" t="s">
        <v>15</v>
      </c>
      <c r="I175" t="s">
        <v>22</v>
      </c>
      <c r="J175" t="s">
        <v>17</v>
      </c>
      <c r="K175" t="s">
        <v>216</v>
      </c>
      <c r="L175">
        <v>13</v>
      </c>
      <c r="M175" t="s">
        <v>217</v>
      </c>
    </row>
    <row r="176" spans="1:13" x14ac:dyDescent="0.25">
      <c r="A176" t="s">
        <v>240</v>
      </c>
      <c r="B176" t="s">
        <v>20</v>
      </c>
      <c r="C176" t="s">
        <v>215</v>
      </c>
      <c r="D176" t="str">
        <f>IF(Merge3[[#This Row],[State Association]]="International", "International","National")</f>
        <v>National</v>
      </c>
      <c r="E176">
        <v>34</v>
      </c>
      <c r="F176" t="str" cm="1">
        <f t="array" ref="F176">_xlfn.IFS(
E176&lt;20,"Below 20",
E176&lt;25,"20-25",
E176&lt;30,"25-30",
E176&lt;35,"30-35",
E176&gt;=35,"Above 35"
)</f>
        <v>30-35</v>
      </c>
      <c r="G176" t="s">
        <v>22</v>
      </c>
      <c r="H176" t="s">
        <v>15</v>
      </c>
      <c r="I176" t="s">
        <v>22</v>
      </c>
      <c r="J176" t="s">
        <v>39</v>
      </c>
      <c r="K176" t="s">
        <v>216</v>
      </c>
      <c r="L176">
        <v>12</v>
      </c>
      <c r="M176" t="s">
        <v>217</v>
      </c>
    </row>
    <row r="177" spans="1:13" x14ac:dyDescent="0.25">
      <c r="A177" t="s">
        <v>241</v>
      </c>
      <c r="B177" t="s">
        <v>119</v>
      </c>
      <c r="C177" t="s">
        <v>13</v>
      </c>
      <c r="D177" t="str">
        <f>IF(Merge3[[#This Row],[State Association]]="International", "International","National")</f>
        <v>International</v>
      </c>
      <c r="E177">
        <v>38</v>
      </c>
      <c r="F177" t="str" cm="1">
        <f t="array" ref="F177">_xlfn.IFS(
E177&lt;20,"Below 20",
E177&lt;25,"20-25",
E177&lt;30,"25-30",
E177&lt;35,"30-35",
E177&gt;=35,"Above 35"
)</f>
        <v>Above 35</v>
      </c>
      <c r="G177" t="s">
        <v>22</v>
      </c>
      <c r="H177" t="s">
        <v>15</v>
      </c>
      <c r="I177" t="s">
        <v>22</v>
      </c>
      <c r="J177" t="s">
        <v>30</v>
      </c>
      <c r="K177" t="s">
        <v>216</v>
      </c>
      <c r="L177">
        <v>12</v>
      </c>
      <c r="M177" t="s">
        <v>217</v>
      </c>
    </row>
    <row r="178" spans="1:13" x14ac:dyDescent="0.25">
      <c r="A178" t="s">
        <v>242</v>
      </c>
      <c r="B178" t="s">
        <v>119</v>
      </c>
      <c r="C178" t="s">
        <v>13</v>
      </c>
      <c r="D178" t="str">
        <f>IF(Merge3[[#This Row],[State Association]]="International", "International","National")</f>
        <v>International</v>
      </c>
      <c r="E178">
        <v>38</v>
      </c>
      <c r="F178" t="str" cm="1">
        <f t="array" ref="F178">_xlfn.IFS(
E178&lt;20,"Below 20",
E178&lt;25,"20-25",
E178&lt;30,"25-30",
E178&lt;35,"30-35",
E178&gt;=35,"Above 35"
)</f>
        <v>Above 35</v>
      </c>
      <c r="G178" t="s">
        <v>22</v>
      </c>
      <c r="H178" t="s">
        <v>15</v>
      </c>
      <c r="I178" t="s">
        <v>22</v>
      </c>
      <c r="J178" t="s">
        <v>39</v>
      </c>
      <c r="K178" t="s">
        <v>216</v>
      </c>
      <c r="L178">
        <v>12</v>
      </c>
      <c r="M178" t="s">
        <v>217</v>
      </c>
    </row>
    <row r="179" spans="1:13" x14ac:dyDescent="0.25">
      <c r="A179" t="s">
        <v>243</v>
      </c>
      <c r="B179" t="s">
        <v>20</v>
      </c>
      <c r="C179" t="s">
        <v>215</v>
      </c>
      <c r="D179" t="str">
        <f>IF(Merge3[[#This Row],[State Association]]="International", "International","National")</f>
        <v>National</v>
      </c>
      <c r="E179">
        <v>24</v>
      </c>
      <c r="F179" t="str" cm="1">
        <f t="array" ref="F179">_xlfn.IFS(
E179&lt;20,"Below 20",
E179&lt;25,"20-25",
E179&lt;30,"25-30",
E179&lt;35,"30-35",
E179&gt;=35,"Above 35"
)</f>
        <v>20-25</v>
      </c>
      <c r="G179" t="s">
        <v>22</v>
      </c>
      <c r="H179" t="s">
        <v>15</v>
      </c>
      <c r="I179" t="s">
        <v>22</v>
      </c>
      <c r="J179" t="s">
        <v>30</v>
      </c>
      <c r="K179" t="s">
        <v>216</v>
      </c>
      <c r="L179">
        <v>4</v>
      </c>
      <c r="M179" t="s">
        <v>217</v>
      </c>
    </row>
    <row r="180" spans="1:13" x14ac:dyDescent="0.25">
      <c r="A180" t="s">
        <v>244</v>
      </c>
      <c r="B180" t="s">
        <v>20</v>
      </c>
      <c r="C180" t="s">
        <v>215</v>
      </c>
      <c r="D180" t="str">
        <f>IF(Merge3[[#This Row],[State Association]]="International", "International","National")</f>
        <v>National</v>
      </c>
      <c r="E180">
        <v>29</v>
      </c>
      <c r="F180" t="str" cm="1">
        <f t="array" ref="F180">_xlfn.IFS(
E180&lt;20,"Below 20",
E180&lt;25,"20-25",
E180&lt;30,"25-30",
E180&lt;35,"30-35",
E180&gt;=35,"Above 35"
)</f>
        <v>25-30</v>
      </c>
      <c r="G180" t="s">
        <v>22</v>
      </c>
      <c r="H180" t="s">
        <v>81</v>
      </c>
      <c r="I180" t="s">
        <v>22</v>
      </c>
      <c r="J180" t="s">
        <v>39</v>
      </c>
      <c r="K180" t="s">
        <v>216</v>
      </c>
      <c r="L180">
        <v>4</v>
      </c>
      <c r="M180" t="s">
        <v>217</v>
      </c>
    </row>
    <row r="181" spans="1:13" x14ac:dyDescent="0.25">
      <c r="A181" t="s">
        <v>245</v>
      </c>
      <c r="B181" t="s">
        <v>20</v>
      </c>
      <c r="C181" t="s">
        <v>215</v>
      </c>
      <c r="D181" t="str">
        <f>IF(Merge3[[#This Row],[State Association]]="International", "International","National")</f>
        <v>National</v>
      </c>
      <c r="E181">
        <v>31</v>
      </c>
      <c r="F181" t="str" cm="1">
        <f t="array" ref="F181">_xlfn.IFS(
E181&lt;20,"Below 20",
E181&lt;25,"20-25",
E181&lt;30,"25-30",
E181&lt;35,"30-35",
E181&gt;=35,"Above 35"
)</f>
        <v>30-35</v>
      </c>
      <c r="G181" t="s">
        <v>14</v>
      </c>
      <c r="H181" t="s">
        <v>15</v>
      </c>
      <c r="I181" t="s">
        <v>14</v>
      </c>
      <c r="J181" t="s">
        <v>17</v>
      </c>
      <c r="K181" t="s">
        <v>216</v>
      </c>
      <c r="L181">
        <v>18</v>
      </c>
      <c r="M181" t="s">
        <v>217</v>
      </c>
    </row>
    <row r="182" spans="1:13" x14ac:dyDescent="0.25">
      <c r="A182" t="s">
        <v>246</v>
      </c>
      <c r="B182" t="s">
        <v>20</v>
      </c>
      <c r="C182" t="s">
        <v>215</v>
      </c>
      <c r="D182" t="str">
        <f>IF(Merge3[[#This Row],[State Association]]="International", "International","National")</f>
        <v>National</v>
      </c>
      <c r="E182">
        <v>24</v>
      </c>
      <c r="F182" t="str" cm="1">
        <f t="array" ref="F182">_xlfn.IFS(
E182&lt;20,"Below 20",
E182&lt;25,"20-25",
E182&lt;30,"25-30",
E182&lt;35,"30-35",
E182&gt;=35,"Above 35"
)</f>
        <v>20-25</v>
      </c>
      <c r="G182" t="s">
        <v>14</v>
      </c>
      <c r="H182" t="s">
        <v>15</v>
      </c>
      <c r="I182" t="s">
        <v>14</v>
      </c>
      <c r="J182" t="s">
        <v>39</v>
      </c>
      <c r="K182" t="s">
        <v>216</v>
      </c>
      <c r="L182">
        <v>18</v>
      </c>
      <c r="M182" t="s">
        <v>217</v>
      </c>
    </row>
    <row r="183" spans="1:13" x14ac:dyDescent="0.25">
      <c r="A183" t="s">
        <v>247</v>
      </c>
      <c r="B183" t="s">
        <v>20</v>
      </c>
      <c r="C183" t="s">
        <v>215</v>
      </c>
      <c r="D183" t="str">
        <f>IF(Merge3[[#This Row],[State Association]]="International", "International","National")</f>
        <v>National</v>
      </c>
      <c r="E183">
        <v>24</v>
      </c>
      <c r="F183" t="str" cm="1">
        <f t="array" ref="F183">_xlfn.IFS(
E183&lt;20,"Below 20",
E183&lt;25,"20-25",
E183&lt;30,"25-30",
E183&lt;35,"30-35",
E183&gt;=35,"Above 35"
)</f>
        <v>20-25</v>
      </c>
      <c r="G183" t="s">
        <v>14</v>
      </c>
      <c r="H183" t="s">
        <v>15</v>
      </c>
      <c r="I183" t="s">
        <v>14</v>
      </c>
      <c r="J183" t="s">
        <v>39</v>
      </c>
      <c r="K183" t="s">
        <v>216</v>
      </c>
      <c r="L183">
        <v>14</v>
      </c>
      <c r="M183" t="s">
        <v>217</v>
      </c>
    </row>
    <row r="184" spans="1:13" x14ac:dyDescent="0.25">
      <c r="A184" t="s">
        <v>248</v>
      </c>
      <c r="B184" t="s">
        <v>20</v>
      </c>
      <c r="C184" t="s">
        <v>215</v>
      </c>
      <c r="D184" t="str">
        <f>IF(Merge3[[#This Row],[State Association]]="International", "International","National")</f>
        <v>National</v>
      </c>
      <c r="E184">
        <v>25</v>
      </c>
      <c r="F184" t="str" cm="1">
        <f t="array" ref="F184">_xlfn.IFS(
E184&lt;20,"Below 20",
E184&lt;25,"20-25",
E184&lt;30,"25-30",
E184&lt;35,"30-35",
E184&gt;=35,"Above 35"
)</f>
        <v>25-30</v>
      </c>
      <c r="G184" t="s">
        <v>14</v>
      </c>
      <c r="H184" t="s">
        <v>15</v>
      </c>
      <c r="I184" t="s">
        <v>14</v>
      </c>
      <c r="J184" t="s">
        <v>17</v>
      </c>
      <c r="K184" t="s">
        <v>216</v>
      </c>
      <c r="L184">
        <v>14</v>
      </c>
      <c r="M184" t="s">
        <v>217</v>
      </c>
    </row>
    <row r="185" spans="1:13" x14ac:dyDescent="0.25">
      <c r="A185" t="s">
        <v>249</v>
      </c>
      <c r="B185" t="s">
        <v>119</v>
      </c>
      <c r="C185" t="s">
        <v>13</v>
      </c>
      <c r="D185" t="str">
        <f>IF(Merge3[[#This Row],[State Association]]="International", "International","National")</f>
        <v>International</v>
      </c>
      <c r="E185">
        <v>29</v>
      </c>
      <c r="F185" t="str" cm="1">
        <f t="array" ref="F185">_xlfn.IFS(
E185&lt;20,"Below 20",
E185&lt;25,"20-25",
E185&lt;30,"25-30",
E185&lt;35,"30-35",
E185&gt;=35,"Above 35"
)</f>
        <v>25-30</v>
      </c>
      <c r="G185" t="s">
        <v>14</v>
      </c>
      <c r="H185" t="s">
        <v>15</v>
      </c>
      <c r="I185" t="s">
        <v>14</v>
      </c>
      <c r="J185" t="s">
        <v>17</v>
      </c>
      <c r="K185" t="s">
        <v>216</v>
      </c>
      <c r="L185">
        <v>11</v>
      </c>
      <c r="M185" t="s">
        <v>217</v>
      </c>
    </row>
    <row r="186" spans="1:13" x14ac:dyDescent="0.25">
      <c r="A186" t="s">
        <v>250</v>
      </c>
      <c r="B186" t="s">
        <v>20</v>
      </c>
      <c r="C186" t="s">
        <v>215</v>
      </c>
      <c r="D186" t="str">
        <f>IF(Merge3[[#This Row],[State Association]]="International", "International","National")</f>
        <v>National</v>
      </c>
      <c r="E186">
        <v>33</v>
      </c>
      <c r="F186" t="str" cm="1">
        <f t="array" ref="F186">_xlfn.IFS(
E186&lt;20,"Below 20",
E186&lt;25,"20-25",
E186&lt;30,"25-30",
E186&lt;35,"30-35",
E186&gt;=35,"Above 35"
)</f>
        <v>30-35</v>
      </c>
      <c r="G186" t="s">
        <v>14</v>
      </c>
      <c r="H186" t="s">
        <v>81</v>
      </c>
      <c r="I186" t="s">
        <v>14</v>
      </c>
      <c r="J186" t="s">
        <v>30</v>
      </c>
      <c r="K186" t="s">
        <v>216</v>
      </c>
      <c r="L186">
        <v>4</v>
      </c>
      <c r="M186" t="s">
        <v>217</v>
      </c>
    </row>
    <row r="187" spans="1:13" x14ac:dyDescent="0.25">
      <c r="A187" t="s">
        <v>251</v>
      </c>
      <c r="B187" t="s">
        <v>252</v>
      </c>
      <c r="C187" t="s">
        <v>13</v>
      </c>
      <c r="D187" t="str">
        <f>IF(Merge3[[#This Row],[State Association]]="International", "International","National")</f>
        <v>International</v>
      </c>
      <c r="E187">
        <v>27</v>
      </c>
      <c r="F187" t="str" cm="1">
        <f t="array" ref="F187">_xlfn.IFS(
E187&lt;20,"Below 20",
E187&lt;25,"20-25",
E187&lt;30,"25-30",
E187&lt;35,"30-35",
E187&gt;=35,"Above 35"
)</f>
        <v>25-30</v>
      </c>
      <c r="G187" t="s">
        <v>16</v>
      </c>
      <c r="H187" t="s">
        <v>15</v>
      </c>
      <c r="I187" t="s">
        <v>16</v>
      </c>
      <c r="J187" t="s">
        <v>30</v>
      </c>
      <c r="K187" t="s">
        <v>216</v>
      </c>
      <c r="L187">
        <v>18</v>
      </c>
      <c r="M187" t="s">
        <v>217</v>
      </c>
    </row>
    <row r="188" spans="1:13" x14ac:dyDescent="0.25">
      <c r="A188" t="s">
        <v>253</v>
      </c>
      <c r="B188" t="s">
        <v>20</v>
      </c>
      <c r="C188" t="s">
        <v>215</v>
      </c>
      <c r="D188" t="str">
        <f>IF(Merge3[[#This Row],[State Association]]="International", "International","National")</f>
        <v>National</v>
      </c>
      <c r="E188">
        <v>26</v>
      </c>
      <c r="F188" t="str" cm="1">
        <f t="array" ref="F188">_xlfn.IFS(
E188&lt;20,"Below 20",
E188&lt;25,"20-25",
E188&lt;30,"25-30",
E188&lt;35,"30-35",
E188&gt;=35,"Above 35"
)</f>
        <v>25-30</v>
      </c>
      <c r="G188" t="s">
        <v>16</v>
      </c>
      <c r="H188" t="s">
        <v>15</v>
      </c>
      <c r="I188" t="s">
        <v>16</v>
      </c>
      <c r="J188" t="s">
        <v>17</v>
      </c>
      <c r="K188" t="s">
        <v>216</v>
      </c>
      <c r="L188">
        <v>16.5</v>
      </c>
      <c r="M188" t="s">
        <v>217</v>
      </c>
    </row>
    <row r="189" spans="1:13" x14ac:dyDescent="0.25">
      <c r="A189" t="s">
        <v>254</v>
      </c>
      <c r="B189" t="s">
        <v>20</v>
      </c>
      <c r="C189" t="s">
        <v>215</v>
      </c>
      <c r="D189" t="str">
        <f>IF(Merge3[[#This Row],[State Association]]="International", "International","National")</f>
        <v>National</v>
      </c>
      <c r="E189">
        <v>24</v>
      </c>
      <c r="F189" t="str" cm="1">
        <f t="array" ref="F189">_xlfn.IFS(
E189&lt;20,"Below 20",
E189&lt;25,"20-25",
E189&lt;30,"25-30",
E189&lt;35,"30-35",
E189&gt;=35,"Above 35"
)</f>
        <v>20-25</v>
      </c>
      <c r="G189" t="s">
        <v>16</v>
      </c>
      <c r="H189" t="s">
        <v>15</v>
      </c>
      <c r="I189" t="s">
        <v>16</v>
      </c>
      <c r="J189" t="s">
        <v>39</v>
      </c>
      <c r="K189" t="s">
        <v>216</v>
      </c>
      <c r="L189">
        <v>8.5</v>
      </c>
      <c r="M189" t="s">
        <v>217</v>
      </c>
    </row>
    <row r="190" spans="1:13" x14ac:dyDescent="0.25">
      <c r="A190" t="s">
        <v>255</v>
      </c>
      <c r="B190" t="s">
        <v>20</v>
      </c>
      <c r="C190" t="s">
        <v>215</v>
      </c>
      <c r="D190" t="str">
        <f>IF(Merge3[[#This Row],[State Association]]="International", "International","National")</f>
        <v>National</v>
      </c>
      <c r="E190">
        <v>33</v>
      </c>
      <c r="F190" t="str" cm="1">
        <f t="array" ref="F190">_xlfn.IFS(
E190&lt;20,"Below 20",
E190&lt;25,"20-25",
E190&lt;30,"25-30",
E190&lt;35,"30-35",
E190&gt;=35,"Above 35"
)</f>
        <v>30-35</v>
      </c>
      <c r="G190" t="s">
        <v>16</v>
      </c>
      <c r="H190" t="s">
        <v>81</v>
      </c>
      <c r="I190" t="s">
        <v>16</v>
      </c>
      <c r="J190" t="s">
        <v>39</v>
      </c>
      <c r="K190" t="s">
        <v>216</v>
      </c>
      <c r="L190">
        <v>4</v>
      </c>
      <c r="M190" t="s">
        <v>217</v>
      </c>
    </row>
    <row r="191" spans="1:13" x14ac:dyDescent="0.25">
      <c r="A191" t="s">
        <v>256</v>
      </c>
      <c r="B191" t="s">
        <v>20</v>
      </c>
      <c r="C191" t="s">
        <v>215</v>
      </c>
      <c r="D191" t="str">
        <f>IF(Merge3[[#This Row],[State Association]]="International", "International","National")</f>
        <v>National</v>
      </c>
      <c r="E191">
        <v>31</v>
      </c>
      <c r="F191" t="str" cm="1">
        <f t="array" ref="F191">_xlfn.IFS(
E191&lt;20,"Below 20",
E191&lt;25,"20-25",
E191&lt;30,"25-30",
E191&lt;35,"30-35",
E191&gt;=35,"Above 35"
)</f>
        <v>30-35</v>
      </c>
      <c r="G191" t="s">
        <v>16</v>
      </c>
      <c r="H191" t="s">
        <v>81</v>
      </c>
      <c r="I191" t="s">
        <v>16</v>
      </c>
      <c r="J191" t="s">
        <v>39</v>
      </c>
      <c r="K191" t="s">
        <v>216</v>
      </c>
      <c r="L191">
        <v>4</v>
      </c>
      <c r="M191" t="s">
        <v>217</v>
      </c>
    </row>
    <row r="192" spans="1:13" x14ac:dyDescent="0.25">
      <c r="A192" t="s">
        <v>257</v>
      </c>
      <c r="B192" t="s">
        <v>119</v>
      </c>
      <c r="C192" t="s">
        <v>13</v>
      </c>
      <c r="D192" t="str">
        <f>IF(Merge3[[#This Row],[State Association]]="International", "International","National")</f>
        <v>International</v>
      </c>
      <c r="E192">
        <v>30</v>
      </c>
      <c r="F192" t="str" cm="1">
        <f t="array" ref="F192">_xlfn.IFS(
E192&lt;20,"Below 20",
E192&lt;25,"20-25",
E192&lt;30,"25-30",
E192&lt;35,"30-35",
E192&gt;=35,"Above 35"
)</f>
        <v>30-35</v>
      </c>
      <c r="G192" t="s">
        <v>27</v>
      </c>
      <c r="H192" t="s">
        <v>15</v>
      </c>
      <c r="I192" t="s">
        <v>27</v>
      </c>
      <c r="J192" t="s">
        <v>17</v>
      </c>
      <c r="K192" t="s">
        <v>216</v>
      </c>
      <c r="L192">
        <v>21</v>
      </c>
      <c r="M192" t="s">
        <v>217</v>
      </c>
    </row>
    <row r="193" spans="1:13" x14ac:dyDescent="0.25">
      <c r="A193" t="s">
        <v>258</v>
      </c>
      <c r="B193" t="s">
        <v>20</v>
      </c>
      <c r="C193" t="s">
        <v>215</v>
      </c>
      <c r="D193" t="str">
        <f>IF(Merge3[[#This Row],[State Association]]="International", "International","National")</f>
        <v>National</v>
      </c>
      <c r="E193">
        <v>25</v>
      </c>
      <c r="F193" t="str" cm="1">
        <f t="array" ref="F193">_xlfn.IFS(
E193&lt;20,"Below 20",
E193&lt;25,"20-25",
E193&lt;30,"25-30",
E193&lt;35,"30-35",
E193&gt;=35,"Above 35"
)</f>
        <v>25-30</v>
      </c>
      <c r="G193" t="s">
        <v>27</v>
      </c>
      <c r="H193" t="s">
        <v>15</v>
      </c>
      <c r="I193" t="s">
        <v>27</v>
      </c>
      <c r="J193" t="s">
        <v>30</v>
      </c>
      <c r="K193" t="s">
        <v>216</v>
      </c>
      <c r="L193">
        <v>11</v>
      </c>
      <c r="M193" t="s">
        <v>217</v>
      </c>
    </row>
    <row r="194" spans="1:13" x14ac:dyDescent="0.25">
      <c r="A194" t="s">
        <v>259</v>
      </c>
      <c r="B194" t="s">
        <v>20</v>
      </c>
      <c r="C194" t="s">
        <v>215</v>
      </c>
      <c r="D194" t="str">
        <f>IF(Merge3[[#This Row],[State Association]]="International", "International","National")</f>
        <v>National</v>
      </c>
      <c r="E194">
        <v>24</v>
      </c>
      <c r="F194" t="str" cm="1">
        <f t="array" ref="F194">_xlfn.IFS(
E194&lt;20,"Below 20",
E194&lt;25,"20-25",
E194&lt;30,"25-30",
E194&lt;35,"30-35",
E194&gt;=35,"Above 35"
)</f>
        <v>20-25</v>
      </c>
      <c r="G194" t="s">
        <v>27</v>
      </c>
      <c r="H194" t="s">
        <v>15</v>
      </c>
      <c r="I194" t="s">
        <v>27</v>
      </c>
      <c r="J194" t="s">
        <v>30</v>
      </c>
      <c r="K194" t="s">
        <v>216</v>
      </c>
      <c r="L194">
        <v>11</v>
      </c>
      <c r="M194" t="s">
        <v>217</v>
      </c>
    </row>
    <row r="195" spans="1:13" x14ac:dyDescent="0.25">
      <c r="A195" t="s">
        <v>260</v>
      </c>
      <c r="B195" t="s">
        <v>20</v>
      </c>
      <c r="C195" t="s">
        <v>215</v>
      </c>
      <c r="D195" t="str">
        <f>IF(Merge3[[#This Row],[State Association]]="International", "International","National")</f>
        <v>National</v>
      </c>
      <c r="E195">
        <v>27</v>
      </c>
      <c r="F195" t="str" cm="1">
        <f t="array" ref="F195">_xlfn.IFS(
E195&lt;20,"Below 20",
E195&lt;25,"20-25",
E195&lt;30,"25-30",
E195&lt;35,"30-35",
E195&gt;=35,"Above 35"
)</f>
        <v>25-30</v>
      </c>
      <c r="G195" t="s">
        <v>27</v>
      </c>
      <c r="H195" t="s">
        <v>81</v>
      </c>
      <c r="I195" t="s">
        <v>27</v>
      </c>
      <c r="J195" t="s">
        <v>30</v>
      </c>
      <c r="K195" t="s">
        <v>216</v>
      </c>
      <c r="L195">
        <v>4</v>
      </c>
      <c r="M195" t="s">
        <v>217</v>
      </c>
    </row>
    <row r="196" spans="1:13" x14ac:dyDescent="0.25">
      <c r="A196" t="s">
        <v>261</v>
      </c>
      <c r="B196" t="s">
        <v>20</v>
      </c>
      <c r="C196" t="s">
        <v>215</v>
      </c>
      <c r="D196" t="str">
        <f>IF(Merge3[[#This Row],[State Association]]="International", "International","National")</f>
        <v>National</v>
      </c>
      <c r="E196">
        <v>26</v>
      </c>
      <c r="F196" t="str" cm="1">
        <f t="array" ref="F196">_xlfn.IFS(
E196&lt;20,"Below 20",
E196&lt;25,"20-25",
E196&lt;30,"25-30",
E196&lt;35,"30-35",
E196&gt;=35,"Above 35"
)</f>
        <v>25-30</v>
      </c>
      <c r="G196" t="s">
        <v>27</v>
      </c>
      <c r="H196" t="s">
        <v>81</v>
      </c>
      <c r="I196" t="s">
        <v>27</v>
      </c>
      <c r="J196" t="s">
        <v>39</v>
      </c>
      <c r="K196" t="s">
        <v>216</v>
      </c>
      <c r="L196">
        <v>4</v>
      </c>
      <c r="M196" t="s">
        <v>217</v>
      </c>
    </row>
    <row r="197" spans="1:13" x14ac:dyDescent="0.25">
      <c r="A197" t="s">
        <v>262</v>
      </c>
      <c r="B197" t="s">
        <v>20</v>
      </c>
      <c r="C197" t="s">
        <v>215</v>
      </c>
      <c r="D197" t="str">
        <f>IF(Merge3[[#This Row],[State Association]]="International", "International","National")</f>
        <v>National</v>
      </c>
      <c r="E197">
        <v>34</v>
      </c>
      <c r="F197" t="str" cm="1">
        <f t="array" ref="F197">_xlfn.IFS(
E197&lt;20,"Below 20",
E197&lt;25,"20-25",
E197&lt;30,"25-30",
E197&lt;35,"30-35",
E197&gt;=35,"Above 35"
)</f>
        <v>30-35</v>
      </c>
      <c r="G197" t="s">
        <v>23</v>
      </c>
      <c r="H197" t="s">
        <v>81</v>
      </c>
      <c r="I197" t="s">
        <v>23</v>
      </c>
      <c r="J197" t="s">
        <v>39</v>
      </c>
      <c r="K197" t="s">
        <v>216</v>
      </c>
      <c r="L197">
        <v>5.5</v>
      </c>
      <c r="M197" t="s">
        <v>217</v>
      </c>
    </row>
    <row r="198" spans="1:13" x14ac:dyDescent="0.25">
      <c r="A198" t="s">
        <v>263</v>
      </c>
      <c r="B198" t="s">
        <v>20</v>
      </c>
      <c r="C198" t="s">
        <v>215</v>
      </c>
      <c r="D198" t="str">
        <f>IF(Merge3[[#This Row],[State Association]]="International", "International","National")</f>
        <v>National</v>
      </c>
      <c r="E198">
        <v>25</v>
      </c>
      <c r="F198" t="str" cm="1">
        <f t="array" ref="F198">_xlfn.IFS(
E198&lt;20,"Below 20",
E198&lt;25,"20-25",
E198&lt;30,"25-30",
E198&lt;35,"30-35",
E198&gt;=35,"Above 35"
)</f>
        <v>25-30</v>
      </c>
      <c r="G198" t="s">
        <v>23</v>
      </c>
      <c r="H198" t="s">
        <v>81</v>
      </c>
      <c r="I198" t="s">
        <v>23</v>
      </c>
      <c r="J198" t="s">
        <v>17</v>
      </c>
      <c r="K198" t="s">
        <v>216</v>
      </c>
      <c r="L198">
        <v>4</v>
      </c>
      <c r="M198" t="s">
        <v>217</v>
      </c>
    </row>
    <row r="199" spans="1:13" x14ac:dyDescent="0.25">
      <c r="A199" t="s">
        <v>264</v>
      </c>
      <c r="B199" t="s">
        <v>20</v>
      </c>
      <c r="C199" t="s">
        <v>215</v>
      </c>
      <c r="D199" t="str">
        <f>IF(Merge3[[#This Row],[State Association]]="International", "International","National")</f>
        <v>National</v>
      </c>
      <c r="E199">
        <v>35</v>
      </c>
      <c r="F199" t="str" cm="1">
        <f t="array" ref="F199">_xlfn.IFS(
E199&lt;20,"Below 20",
E199&lt;25,"20-25",
E199&lt;30,"25-30",
E199&lt;35,"30-35",
E199&gt;=35,"Above 35"
)</f>
        <v>Above 35</v>
      </c>
      <c r="G199" t="s">
        <v>16</v>
      </c>
      <c r="H199" t="s">
        <v>15</v>
      </c>
      <c r="I199" t="s">
        <v>48</v>
      </c>
      <c r="J199" t="s">
        <v>30</v>
      </c>
      <c r="K199">
        <v>2</v>
      </c>
      <c r="L199">
        <v>10</v>
      </c>
      <c r="M199" t="s">
        <v>18</v>
      </c>
    </row>
    <row r="200" spans="1:13" x14ac:dyDescent="0.25">
      <c r="A200" t="s">
        <v>265</v>
      </c>
      <c r="B200" t="s">
        <v>20</v>
      </c>
      <c r="C200" t="s">
        <v>215</v>
      </c>
      <c r="D200" t="str">
        <f>IF(Merge3[[#This Row],[State Association]]="International", "International","National")</f>
        <v>National</v>
      </c>
      <c r="E200">
        <v>32</v>
      </c>
      <c r="F200" t="str" cm="1">
        <f t="array" ref="F200">_xlfn.IFS(
E200&lt;20,"Below 20",
E200&lt;25,"20-25",
E200&lt;30,"25-30",
E200&lt;35,"30-35",
E200&gt;=35,"Above 35"
)</f>
        <v>30-35</v>
      </c>
      <c r="G200" t="s">
        <v>38</v>
      </c>
      <c r="H200" t="s">
        <v>15</v>
      </c>
      <c r="I200" t="s">
        <v>16</v>
      </c>
      <c r="J200" t="s">
        <v>30</v>
      </c>
      <c r="K200">
        <v>2</v>
      </c>
      <c r="L200">
        <v>12.25</v>
      </c>
      <c r="M200" t="s">
        <v>18</v>
      </c>
    </row>
    <row r="201" spans="1:13" x14ac:dyDescent="0.25">
      <c r="A201" t="s">
        <v>266</v>
      </c>
      <c r="B201" t="s">
        <v>34</v>
      </c>
      <c r="C201" t="s">
        <v>13</v>
      </c>
      <c r="D201" t="str">
        <f>IF(Merge3[[#This Row],[State Association]]="International", "International","National")</f>
        <v>International</v>
      </c>
      <c r="E201">
        <v>24</v>
      </c>
      <c r="F201" t="str" cm="1">
        <f t="array" ref="F201">_xlfn.IFS(
E201&lt;20,"Below 20",
E201&lt;25,"20-25",
E201&lt;30,"25-30",
E201&lt;35,"30-35",
E201&gt;=35,"Above 35"
)</f>
        <v>20-25</v>
      </c>
      <c r="G201" t="s">
        <v>26</v>
      </c>
      <c r="H201" t="s">
        <v>15</v>
      </c>
      <c r="I201" t="s">
        <v>26</v>
      </c>
      <c r="J201" t="s">
        <v>17</v>
      </c>
      <c r="K201">
        <v>2</v>
      </c>
      <c r="L201">
        <v>9</v>
      </c>
      <c r="M201" t="s">
        <v>18</v>
      </c>
    </row>
    <row r="202" spans="1:13" x14ac:dyDescent="0.25">
      <c r="A202" t="s">
        <v>267</v>
      </c>
      <c r="B202" t="s">
        <v>20</v>
      </c>
      <c r="C202" t="s">
        <v>215</v>
      </c>
      <c r="D202" t="str">
        <f>IF(Merge3[[#This Row],[State Association]]="International", "International","National")</f>
        <v>National</v>
      </c>
      <c r="E202">
        <v>39</v>
      </c>
      <c r="F202" t="str" cm="1">
        <f t="array" ref="F202">_xlfn.IFS(
E202&lt;20,"Below 20",
E202&lt;25,"20-25",
E202&lt;30,"25-30",
E202&lt;35,"30-35",
E202&gt;=35,"Above 35"
)</f>
        <v>Above 35</v>
      </c>
      <c r="G202" t="s">
        <v>14</v>
      </c>
      <c r="H202" t="s">
        <v>15</v>
      </c>
      <c r="I202" t="s">
        <v>46</v>
      </c>
      <c r="J202" t="s">
        <v>39</v>
      </c>
      <c r="K202">
        <v>2</v>
      </c>
      <c r="L202">
        <v>9.75</v>
      </c>
      <c r="M202" t="s">
        <v>18</v>
      </c>
    </row>
    <row r="203" spans="1:13" x14ac:dyDescent="0.25">
      <c r="A203" t="s">
        <v>268</v>
      </c>
      <c r="B203" t="s">
        <v>29</v>
      </c>
      <c r="C203" t="s">
        <v>13</v>
      </c>
      <c r="D203" t="str">
        <f>IF(Merge3[[#This Row],[State Association]]="International", "International","National")</f>
        <v>International</v>
      </c>
      <c r="E203">
        <v>33</v>
      </c>
      <c r="F203" t="str" cm="1">
        <f t="array" ref="F203">_xlfn.IFS(
E203&lt;20,"Below 20",
E203&lt;25,"20-25",
E203&lt;30,"25-30",
E203&lt;35,"30-35",
E203&gt;=35,"Above 35"
)</f>
        <v>30-35</v>
      </c>
      <c r="G203" t="s">
        <v>27</v>
      </c>
      <c r="H203" t="s">
        <v>15</v>
      </c>
      <c r="I203" t="s">
        <v>22</v>
      </c>
      <c r="J203" t="s">
        <v>17</v>
      </c>
      <c r="K203">
        <v>2</v>
      </c>
      <c r="L203">
        <v>3.6</v>
      </c>
      <c r="M203" t="s">
        <v>18</v>
      </c>
    </row>
    <row r="204" spans="1:13" x14ac:dyDescent="0.25">
      <c r="A204" t="s">
        <v>269</v>
      </c>
      <c r="B204" t="s">
        <v>20</v>
      </c>
      <c r="C204" t="s">
        <v>215</v>
      </c>
      <c r="D204" t="str">
        <f>IF(Merge3[[#This Row],[State Association]]="International", "International","National")</f>
        <v>National</v>
      </c>
      <c r="E204">
        <v>28</v>
      </c>
      <c r="F204" t="str" cm="1">
        <f t="array" ref="F204">_xlfn.IFS(
E204&lt;20,"Below 20",
E204&lt;25,"20-25",
E204&lt;30,"25-30",
E204&lt;35,"30-35",
E204&gt;=35,"Above 35"
)</f>
        <v>25-30</v>
      </c>
      <c r="G204" t="s">
        <v>26</v>
      </c>
      <c r="H204" t="s">
        <v>15</v>
      </c>
      <c r="I204" t="s">
        <v>46</v>
      </c>
      <c r="J204" t="s">
        <v>30</v>
      </c>
      <c r="K204">
        <v>2</v>
      </c>
      <c r="L204">
        <v>4.8</v>
      </c>
      <c r="M204" t="s">
        <v>18</v>
      </c>
    </row>
    <row r="205" spans="1:13" x14ac:dyDescent="0.25">
      <c r="A205" t="s">
        <v>270</v>
      </c>
      <c r="B205" t="s">
        <v>20</v>
      </c>
      <c r="C205" t="s">
        <v>215</v>
      </c>
      <c r="D205" t="str">
        <f>IF(Merge3[[#This Row],[State Association]]="International", "International","National")</f>
        <v>National</v>
      </c>
      <c r="E205">
        <v>35</v>
      </c>
      <c r="F205" t="str" cm="1">
        <f t="array" ref="F205">_xlfn.IFS(
E205&lt;20,"Below 20",
E205&lt;25,"20-25",
E205&lt;30,"25-30",
E205&lt;35,"30-35",
E205&gt;=35,"Above 35"
)</f>
        <v>Above 35</v>
      </c>
      <c r="G205" t="s">
        <v>48</v>
      </c>
      <c r="H205" t="s">
        <v>15</v>
      </c>
      <c r="I205" t="s">
        <v>26</v>
      </c>
      <c r="J205" t="s">
        <v>30</v>
      </c>
      <c r="K205">
        <v>2</v>
      </c>
      <c r="L205">
        <v>10.75</v>
      </c>
      <c r="M205" t="s">
        <v>18</v>
      </c>
    </row>
    <row r="206" spans="1:13" x14ac:dyDescent="0.25">
      <c r="A206" t="s">
        <v>271</v>
      </c>
      <c r="B206" t="s">
        <v>20</v>
      </c>
      <c r="C206" t="s">
        <v>215</v>
      </c>
      <c r="D206" t="str">
        <f>IF(Merge3[[#This Row],[State Association]]="International", "International","National")</f>
        <v>National</v>
      </c>
      <c r="E206">
        <v>26</v>
      </c>
      <c r="F206" t="str" cm="1">
        <f t="array" ref="F206">_xlfn.IFS(
E206&lt;20,"Below 20",
E206&lt;25,"20-25",
E206&lt;30,"25-30",
E206&lt;35,"30-35",
E206&gt;=35,"Above 35"
)</f>
        <v>25-30</v>
      </c>
      <c r="G206" t="s">
        <v>26</v>
      </c>
      <c r="H206" t="s">
        <v>81</v>
      </c>
      <c r="I206" t="s">
        <v>38</v>
      </c>
      <c r="J206" t="s">
        <v>30</v>
      </c>
      <c r="K206">
        <v>0.3</v>
      </c>
      <c r="L206">
        <v>6</v>
      </c>
      <c r="M206" t="s">
        <v>18</v>
      </c>
    </row>
    <row r="207" spans="1:13" x14ac:dyDescent="0.25">
      <c r="A207" t="s">
        <v>272</v>
      </c>
      <c r="B207" t="s">
        <v>20</v>
      </c>
      <c r="C207" t="s">
        <v>215</v>
      </c>
      <c r="D207" t="str">
        <f>IF(Merge3[[#This Row],[State Association]]="International", "International","National")</f>
        <v>National</v>
      </c>
      <c r="E207">
        <v>29</v>
      </c>
      <c r="F207" t="str" cm="1">
        <f t="array" ref="F207">_xlfn.IFS(
E207&lt;20,"Below 20",
E207&lt;25,"20-25",
E207&lt;30,"25-30",
E207&lt;35,"30-35",
E207&gt;=35,"Above 35"
)</f>
        <v>25-30</v>
      </c>
      <c r="G207" t="s">
        <v>38</v>
      </c>
      <c r="H207" t="s">
        <v>81</v>
      </c>
      <c r="I207" t="s">
        <v>23</v>
      </c>
      <c r="J207" t="s">
        <v>30</v>
      </c>
      <c r="K207">
        <v>0.3</v>
      </c>
      <c r="L207">
        <v>1.8</v>
      </c>
      <c r="M207" t="s">
        <v>18</v>
      </c>
    </row>
    <row r="208" spans="1:13" x14ac:dyDescent="0.25">
      <c r="A208" t="s">
        <v>273</v>
      </c>
      <c r="B208" t="s">
        <v>20</v>
      </c>
      <c r="C208" t="s">
        <v>215</v>
      </c>
      <c r="D208" t="str">
        <f>IF(Merge3[[#This Row],[State Association]]="International", "International","National")</f>
        <v>National</v>
      </c>
      <c r="E208">
        <v>28</v>
      </c>
      <c r="F208" t="str" cm="1">
        <f t="array" ref="F208">_xlfn.IFS(
E208&lt;20,"Below 20",
E208&lt;25,"20-25",
E208&lt;30,"25-30",
E208&lt;35,"30-35",
E208&gt;=35,"Above 35"
)</f>
        <v>25-30</v>
      </c>
      <c r="G208" t="s">
        <v>69</v>
      </c>
      <c r="H208" t="s">
        <v>81</v>
      </c>
      <c r="I208" t="s">
        <v>14</v>
      </c>
      <c r="J208" t="s">
        <v>30</v>
      </c>
      <c r="K208">
        <v>0.3</v>
      </c>
      <c r="L208">
        <v>0.3</v>
      </c>
      <c r="M208" t="s">
        <v>18</v>
      </c>
    </row>
    <row r="209" spans="1:13" x14ac:dyDescent="0.25">
      <c r="A209" t="s">
        <v>274</v>
      </c>
      <c r="B209" t="s">
        <v>29</v>
      </c>
      <c r="C209" t="s">
        <v>13</v>
      </c>
      <c r="D209" t="str">
        <f>IF(Merge3[[#This Row],[State Association]]="International", "International","National")</f>
        <v>International</v>
      </c>
      <c r="E209">
        <v>41</v>
      </c>
      <c r="F209" t="str" cm="1">
        <f t="array" ref="F209">_xlfn.IFS(
E209&lt;20,"Below 20",
E209&lt;25,"20-25",
E209&lt;30,"25-30",
E209&lt;35,"30-35",
E209&gt;=35,"Above 35"
)</f>
        <v>Above 35</v>
      </c>
      <c r="G209" t="s">
        <v>38</v>
      </c>
      <c r="H209" t="s">
        <v>15</v>
      </c>
      <c r="I209" t="s">
        <v>26</v>
      </c>
      <c r="J209" t="s">
        <v>17</v>
      </c>
      <c r="K209">
        <v>2</v>
      </c>
      <c r="L209">
        <v>2</v>
      </c>
      <c r="M209" t="s">
        <v>18</v>
      </c>
    </row>
    <row r="210" spans="1:13" x14ac:dyDescent="0.25">
      <c r="A210" t="s">
        <v>275</v>
      </c>
      <c r="B210" t="s">
        <v>252</v>
      </c>
      <c r="C210" t="s">
        <v>13</v>
      </c>
      <c r="D210" t="str">
        <f>IF(Merge3[[#This Row],[State Association]]="International", "International","National")</f>
        <v>International</v>
      </c>
      <c r="E210">
        <v>20</v>
      </c>
      <c r="F210" t="str" cm="1">
        <f t="array" ref="F210">_xlfn.IFS(
E210&lt;20,"Below 20",
E210&lt;25,"20-25",
E210&lt;30,"25-30",
E210&lt;35,"30-35",
E210&gt;=35,"Above 35"
)</f>
        <v>20-25</v>
      </c>
      <c r="G210" t="s">
        <v>22</v>
      </c>
      <c r="H210" t="s">
        <v>15</v>
      </c>
      <c r="I210" t="s">
        <v>63</v>
      </c>
      <c r="J210" t="s">
        <v>30</v>
      </c>
      <c r="K210">
        <v>0.75</v>
      </c>
      <c r="L210">
        <v>4.8</v>
      </c>
      <c r="M210" t="s">
        <v>18</v>
      </c>
    </row>
    <row r="211" spans="1:13" x14ac:dyDescent="0.25">
      <c r="A211" t="s">
        <v>276</v>
      </c>
      <c r="B211" t="s">
        <v>20</v>
      </c>
      <c r="C211" t="s">
        <v>215</v>
      </c>
      <c r="D211" t="str">
        <f>IF(Merge3[[#This Row],[State Association]]="International", "International","National")</f>
        <v>National</v>
      </c>
      <c r="E211">
        <v>21</v>
      </c>
      <c r="F211" t="str" cm="1">
        <f t="array" ref="F211">_xlfn.IFS(
E211&lt;20,"Below 20",
E211&lt;25,"20-25",
E211&lt;30,"25-30",
E211&lt;35,"30-35",
E211&gt;=35,"Above 35"
)</f>
        <v>20-25</v>
      </c>
      <c r="G211" t="s">
        <v>69</v>
      </c>
      <c r="H211" t="s">
        <v>81</v>
      </c>
      <c r="I211" t="s">
        <v>38</v>
      </c>
      <c r="J211" t="s">
        <v>17</v>
      </c>
      <c r="K211">
        <v>0.3</v>
      </c>
      <c r="L211">
        <v>0.3</v>
      </c>
      <c r="M211" t="s">
        <v>18</v>
      </c>
    </row>
    <row r="212" spans="1:13" x14ac:dyDescent="0.25">
      <c r="A212" t="s">
        <v>277</v>
      </c>
      <c r="B212" t="s">
        <v>20</v>
      </c>
      <c r="C212" t="s">
        <v>215</v>
      </c>
      <c r="D212" t="str">
        <f>IF(Merge3[[#This Row],[State Association]]="International", "International","National")</f>
        <v>National</v>
      </c>
      <c r="E212">
        <v>28</v>
      </c>
      <c r="F212" t="str" cm="1">
        <f t="array" ref="F212">_xlfn.IFS(
E212&lt;20,"Below 20",
E212&lt;25,"20-25",
E212&lt;30,"25-30",
E212&lt;35,"30-35",
E212&gt;=35,"Above 35"
)</f>
        <v>25-30</v>
      </c>
      <c r="G212" t="s">
        <v>27</v>
      </c>
      <c r="H212" t="s">
        <v>81</v>
      </c>
      <c r="I212" t="s">
        <v>16</v>
      </c>
      <c r="J212" t="s">
        <v>39</v>
      </c>
      <c r="K212">
        <v>0.3</v>
      </c>
      <c r="L212">
        <v>1.3</v>
      </c>
      <c r="M212" t="s">
        <v>18</v>
      </c>
    </row>
    <row r="213" spans="1:13" x14ac:dyDescent="0.25">
      <c r="A213" t="s">
        <v>278</v>
      </c>
      <c r="B213" t="s">
        <v>20</v>
      </c>
      <c r="C213" t="s">
        <v>215</v>
      </c>
      <c r="D213" t="str">
        <f>IF(Merge3[[#This Row],[State Association]]="International", "International","National")</f>
        <v>National</v>
      </c>
      <c r="E213">
        <v>24</v>
      </c>
      <c r="F213" t="str" cm="1">
        <f t="array" ref="F213">_xlfn.IFS(
E213&lt;20,"Below 20",
E213&lt;25,"20-25",
E213&lt;30,"25-30",
E213&lt;35,"30-35",
E213&gt;=35,"Above 35"
)</f>
        <v>20-25</v>
      </c>
      <c r="G213" t="s">
        <v>69</v>
      </c>
      <c r="H213" t="s">
        <v>81</v>
      </c>
      <c r="I213" t="s">
        <v>14</v>
      </c>
      <c r="J213" t="s">
        <v>17</v>
      </c>
      <c r="K213">
        <v>0.3</v>
      </c>
      <c r="L213">
        <v>0.3</v>
      </c>
      <c r="M213" t="s">
        <v>18</v>
      </c>
    </row>
    <row r="214" spans="1:13" x14ac:dyDescent="0.25">
      <c r="A214" t="s">
        <v>279</v>
      </c>
      <c r="B214" t="s">
        <v>20</v>
      </c>
      <c r="C214" t="s">
        <v>215</v>
      </c>
      <c r="D214" t="str">
        <f>IF(Merge3[[#This Row],[State Association]]="International", "International","National")</f>
        <v>National</v>
      </c>
      <c r="E214">
        <v>26</v>
      </c>
      <c r="F214" t="str" cm="1">
        <f t="array" ref="F214">_xlfn.IFS(
E214&lt;20,"Below 20",
E214&lt;25,"20-25",
E214&lt;30,"25-30",
E214&lt;35,"30-35",
E214&gt;=35,"Above 35"
)</f>
        <v>25-30</v>
      </c>
      <c r="G214" t="s">
        <v>69</v>
      </c>
      <c r="H214" t="s">
        <v>81</v>
      </c>
      <c r="I214" t="s">
        <v>16</v>
      </c>
      <c r="J214" t="s">
        <v>30</v>
      </c>
      <c r="K214">
        <v>0.3</v>
      </c>
      <c r="L214">
        <v>1.3</v>
      </c>
      <c r="M214" t="s">
        <v>18</v>
      </c>
    </row>
    <row r="215" spans="1:13" x14ac:dyDescent="0.25">
      <c r="A215" t="s">
        <v>280</v>
      </c>
      <c r="B215" t="s">
        <v>20</v>
      </c>
      <c r="C215" t="s">
        <v>215</v>
      </c>
      <c r="D215" t="str">
        <f>IF(Merge3[[#This Row],[State Association]]="International", "International","National")</f>
        <v>National</v>
      </c>
      <c r="E215">
        <v>27</v>
      </c>
      <c r="F215" t="str" cm="1">
        <f t="array" ref="F215">_xlfn.IFS(
E215&lt;20,"Below 20",
E215&lt;25,"20-25",
E215&lt;30,"25-30",
E215&lt;35,"30-35",
E215&gt;=35,"Above 35"
)</f>
        <v>25-30</v>
      </c>
      <c r="G215" t="s">
        <v>27</v>
      </c>
      <c r="H215" t="s">
        <v>81</v>
      </c>
      <c r="I215" t="s">
        <v>27</v>
      </c>
      <c r="J215" t="s">
        <v>30</v>
      </c>
      <c r="K215">
        <v>0.3</v>
      </c>
      <c r="L215">
        <v>0.75</v>
      </c>
      <c r="M215" t="s">
        <v>18</v>
      </c>
    </row>
    <row r="216" spans="1:13" x14ac:dyDescent="0.25">
      <c r="A216" t="s">
        <v>281</v>
      </c>
      <c r="B216" t="s">
        <v>20</v>
      </c>
      <c r="C216" t="s">
        <v>215</v>
      </c>
      <c r="D216" t="str">
        <f>IF(Merge3[[#This Row],[State Association]]="International", "International","National")</f>
        <v>National</v>
      </c>
      <c r="E216">
        <v>31</v>
      </c>
      <c r="F216" t="str" cm="1">
        <f t="array" ref="F216">_xlfn.IFS(
E216&lt;20,"Below 20",
E216&lt;25,"20-25",
E216&lt;30,"25-30",
E216&lt;35,"30-35",
E216&gt;=35,"Above 35"
)</f>
        <v>30-35</v>
      </c>
      <c r="G216" t="s">
        <v>48</v>
      </c>
      <c r="H216" t="s">
        <v>81</v>
      </c>
      <c r="I216" t="s">
        <v>27</v>
      </c>
      <c r="J216" t="s">
        <v>39</v>
      </c>
      <c r="K216">
        <v>1</v>
      </c>
      <c r="L216">
        <v>2.4</v>
      </c>
      <c r="M216" t="s">
        <v>18</v>
      </c>
    </row>
    <row r="217" spans="1:13" x14ac:dyDescent="0.25">
      <c r="A217" t="s">
        <v>282</v>
      </c>
      <c r="B217" t="s">
        <v>20</v>
      </c>
      <c r="C217" t="s">
        <v>215</v>
      </c>
      <c r="D217" t="str">
        <f>IF(Merge3[[#This Row],[State Association]]="International", "International","National")</f>
        <v>National</v>
      </c>
      <c r="E217">
        <v>29</v>
      </c>
      <c r="F217" t="str" cm="1">
        <f t="array" ref="F217">_xlfn.IFS(
E217&lt;20,"Below 20",
E217&lt;25,"20-25",
E217&lt;30,"25-30",
E217&lt;35,"30-35",
E217&gt;=35,"Above 35"
)</f>
        <v>25-30</v>
      </c>
      <c r="G217" t="s">
        <v>16</v>
      </c>
      <c r="H217" t="s">
        <v>81</v>
      </c>
      <c r="I217" t="s">
        <v>16</v>
      </c>
      <c r="J217" t="s">
        <v>39</v>
      </c>
      <c r="K217">
        <v>0.75</v>
      </c>
      <c r="L217">
        <v>2</v>
      </c>
      <c r="M217" t="s">
        <v>18</v>
      </c>
    </row>
    <row r="218" spans="1:13" x14ac:dyDescent="0.25">
      <c r="A218" t="s">
        <v>283</v>
      </c>
      <c r="B218" t="s">
        <v>20</v>
      </c>
      <c r="C218" t="s">
        <v>215</v>
      </c>
      <c r="D218" t="str">
        <f>IF(Merge3[[#This Row],[State Association]]="International", "International","National")</f>
        <v>National</v>
      </c>
      <c r="E218">
        <v>23</v>
      </c>
      <c r="F218" t="str" cm="1">
        <f t="array" ref="F218">_xlfn.IFS(
E218&lt;20,"Below 20",
E218&lt;25,"20-25",
E218&lt;30,"25-30",
E218&lt;35,"30-35",
E218&gt;=35,"Above 35"
)</f>
        <v>20-25</v>
      </c>
      <c r="G218" t="s">
        <v>69</v>
      </c>
      <c r="H218" t="s">
        <v>81</v>
      </c>
      <c r="I218" t="s">
        <v>23</v>
      </c>
      <c r="J218" t="s">
        <v>17</v>
      </c>
      <c r="K218">
        <v>0.3</v>
      </c>
      <c r="L218">
        <v>0.3</v>
      </c>
      <c r="M218" t="s">
        <v>18</v>
      </c>
    </row>
    <row r="219" spans="1:13" x14ac:dyDescent="0.25">
      <c r="A219" t="s">
        <v>284</v>
      </c>
      <c r="B219" t="s">
        <v>20</v>
      </c>
      <c r="C219" t="s">
        <v>215</v>
      </c>
      <c r="D219" t="str">
        <f>IF(Merge3[[#This Row],[State Association]]="International", "International","National")</f>
        <v>National</v>
      </c>
      <c r="E219">
        <v>19</v>
      </c>
      <c r="F219" t="str" cm="1">
        <f t="array" ref="F219">_xlfn.IFS(
E219&lt;20,"Below 20",
E219&lt;25,"20-25",
E219&lt;30,"25-30",
E219&lt;35,"30-35",
E219&gt;=35,"Above 35"
)</f>
        <v>Below 20</v>
      </c>
      <c r="G219" t="s">
        <v>69</v>
      </c>
      <c r="H219" t="s">
        <v>81</v>
      </c>
      <c r="I219" t="s">
        <v>46</v>
      </c>
      <c r="J219" t="s">
        <v>17</v>
      </c>
      <c r="K219">
        <v>0.3</v>
      </c>
      <c r="L219">
        <v>0.3</v>
      </c>
      <c r="M219" t="s">
        <v>18</v>
      </c>
    </row>
    <row r="220" spans="1:13" x14ac:dyDescent="0.25">
      <c r="A220" t="s">
        <v>285</v>
      </c>
      <c r="B220" t="s">
        <v>20</v>
      </c>
      <c r="C220" t="s">
        <v>215</v>
      </c>
      <c r="D220" t="str">
        <f>IF(Merge3[[#This Row],[State Association]]="International", "International","National")</f>
        <v>National</v>
      </c>
      <c r="E220">
        <v>28</v>
      </c>
      <c r="F220" t="str" cm="1">
        <f t="array" ref="F220">_xlfn.IFS(
E220&lt;20,"Below 20",
E220&lt;25,"20-25",
E220&lt;30,"25-30",
E220&lt;35,"30-35",
E220&gt;=35,"Above 35"
)</f>
        <v>25-30</v>
      </c>
      <c r="G220" t="s">
        <v>27</v>
      </c>
      <c r="H220" t="s">
        <v>81</v>
      </c>
      <c r="I220" t="s">
        <v>14</v>
      </c>
      <c r="J220" t="s">
        <v>39</v>
      </c>
      <c r="K220">
        <v>0.3</v>
      </c>
      <c r="L220">
        <v>0.35</v>
      </c>
      <c r="M220" t="s">
        <v>18</v>
      </c>
    </row>
    <row r="221" spans="1:13" x14ac:dyDescent="0.25">
      <c r="A221" t="s">
        <v>286</v>
      </c>
      <c r="B221" t="s">
        <v>20</v>
      </c>
      <c r="C221" t="s">
        <v>215</v>
      </c>
      <c r="D221" t="str">
        <f>IF(Merge3[[#This Row],[State Association]]="International", "International","National")</f>
        <v>National</v>
      </c>
      <c r="E221">
        <v>32</v>
      </c>
      <c r="F221" t="str" cm="1">
        <f t="array" ref="F221">_xlfn.IFS(
E221&lt;20,"Below 20",
E221&lt;25,"20-25",
E221&lt;30,"25-30",
E221&lt;35,"30-35",
E221&gt;=35,"Above 35"
)</f>
        <v>30-35</v>
      </c>
      <c r="G221" t="s">
        <v>69</v>
      </c>
      <c r="H221" t="s">
        <v>81</v>
      </c>
      <c r="I221" t="s">
        <v>23</v>
      </c>
      <c r="J221" t="s">
        <v>39</v>
      </c>
      <c r="K221">
        <v>0.3</v>
      </c>
      <c r="L221">
        <v>0.3</v>
      </c>
      <c r="M221" t="s">
        <v>18</v>
      </c>
    </row>
    <row r="222" spans="1:13" x14ac:dyDescent="0.25">
      <c r="A222" t="s">
        <v>287</v>
      </c>
      <c r="B222" t="s">
        <v>20</v>
      </c>
      <c r="C222" t="s">
        <v>215</v>
      </c>
      <c r="D222" t="str">
        <f>IF(Merge3[[#This Row],[State Association]]="International", "International","National")</f>
        <v>National</v>
      </c>
      <c r="E222">
        <v>29</v>
      </c>
      <c r="F222" t="str" cm="1">
        <f t="array" ref="F222">_xlfn.IFS(
E222&lt;20,"Below 20",
E222&lt;25,"20-25",
E222&lt;30,"25-30",
E222&lt;35,"30-35",
E222&gt;=35,"Above 35"
)</f>
        <v>25-30</v>
      </c>
      <c r="G222" t="s">
        <v>69</v>
      </c>
      <c r="H222" t="s">
        <v>81</v>
      </c>
      <c r="I222" t="s">
        <v>63</v>
      </c>
      <c r="J222" t="s">
        <v>17</v>
      </c>
      <c r="K222">
        <v>0.3</v>
      </c>
      <c r="L222">
        <v>0.3</v>
      </c>
      <c r="M222" t="s">
        <v>18</v>
      </c>
    </row>
    <row r="223" spans="1:13" x14ac:dyDescent="0.25">
      <c r="A223" t="s">
        <v>288</v>
      </c>
      <c r="B223" t="s">
        <v>20</v>
      </c>
      <c r="C223" t="s">
        <v>215</v>
      </c>
      <c r="D223" t="str">
        <f>IF(Merge3[[#This Row],[State Association]]="International", "International","National")</f>
        <v>National</v>
      </c>
      <c r="E223">
        <v>23</v>
      </c>
      <c r="F223" t="str" cm="1">
        <f t="array" ref="F223">_xlfn.IFS(
E223&lt;20,"Below 20",
E223&lt;25,"20-25",
E223&lt;30,"25-30",
E223&lt;35,"30-35",
E223&gt;=35,"Above 35"
)</f>
        <v>20-25</v>
      </c>
      <c r="G223" t="s">
        <v>69</v>
      </c>
      <c r="H223" t="s">
        <v>81</v>
      </c>
      <c r="I223" t="s">
        <v>63</v>
      </c>
      <c r="J223" t="s">
        <v>39</v>
      </c>
      <c r="K223">
        <v>0.3</v>
      </c>
      <c r="L223">
        <v>0.3</v>
      </c>
      <c r="M223" t="s">
        <v>18</v>
      </c>
    </row>
    <row r="224" spans="1:13" x14ac:dyDescent="0.25">
      <c r="A224" t="s">
        <v>289</v>
      </c>
      <c r="B224" t="s">
        <v>20</v>
      </c>
      <c r="C224" t="s">
        <v>215</v>
      </c>
      <c r="D224" t="str">
        <f>IF(Merge3[[#This Row],[State Association]]="International", "International","National")</f>
        <v>National</v>
      </c>
      <c r="E224">
        <v>22</v>
      </c>
      <c r="F224" t="str" cm="1">
        <f t="array" ref="F224">_xlfn.IFS(
E224&lt;20,"Below 20",
E224&lt;25,"20-25",
E224&lt;30,"25-30",
E224&lt;35,"30-35",
E224&gt;=35,"Above 35"
)</f>
        <v>20-25</v>
      </c>
      <c r="G224" t="s">
        <v>69</v>
      </c>
      <c r="H224" t="s">
        <v>81</v>
      </c>
      <c r="I224" t="s">
        <v>26</v>
      </c>
      <c r="J224" t="s">
        <v>39</v>
      </c>
      <c r="K224">
        <v>0.3</v>
      </c>
      <c r="L224">
        <v>0.3</v>
      </c>
      <c r="M224" t="s">
        <v>18</v>
      </c>
    </row>
    <row r="225" spans="1:13" x14ac:dyDescent="0.25">
      <c r="A225" t="s">
        <v>290</v>
      </c>
      <c r="B225" t="s">
        <v>29</v>
      </c>
      <c r="C225" t="s">
        <v>13</v>
      </c>
      <c r="D225" t="str">
        <f>IF(Merge3[[#This Row],[State Association]]="International", "International","National")</f>
        <v>International</v>
      </c>
      <c r="E225">
        <v>30</v>
      </c>
      <c r="F225" t="str" cm="1">
        <f t="array" ref="F225">_xlfn.IFS(
E225&lt;20,"Below 20",
E225&lt;25,"20-25",
E225&lt;30,"25-30",
E225&lt;35,"30-35",
E225&gt;=35,"Above 35"
)</f>
        <v>30-35</v>
      </c>
      <c r="G225" t="s">
        <v>26</v>
      </c>
      <c r="H225" t="s">
        <v>15</v>
      </c>
      <c r="I225" t="s">
        <v>38</v>
      </c>
      <c r="J225" t="s">
        <v>30</v>
      </c>
      <c r="K225">
        <v>1</v>
      </c>
      <c r="L225">
        <v>1</v>
      </c>
      <c r="M225" t="s">
        <v>18</v>
      </c>
    </row>
    <row r="226" spans="1:13" x14ac:dyDescent="0.25">
      <c r="A226" t="s">
        <v>291</v>
      </c>
      <c r="B226" t="s">
        <v>20</v>
      </c>
      <c r="C226" t="s">
        <v>215</v>
      </c>
      <c r="D226" t="str">
        <f>IF(Merge3[[#This Row],[State Association]]="International", "International","National")</f>
        <v>National</v>
      </c>
      <c r="E226">
        <v>26</v>
      </c>
      <c r="F226" t="str" cm="1">
        <f t="array" ref="F226">_xlfn.IFS(
E226&lt;20,"Below 20",
E226&lt;25,"20-25",
E226&lt;30,"25-30",
E226&lt;35,"30-35",
E226&gt;=35,"Above 35"
)</f>
        <v>25-30</v>
      </c>
      <c r="G226" t="s">
        <v>69</v>
      </c>
      <c r="H226" t="s">
        <v>81</v>
      </c>
      <c r="I226" t="s">
        <v>63</v>
      </c>
      <c r="J226" t="s">
        <v>30</v>
      </c>
      <c r="K226">
        <v>0.3</v>
      </c>
      <c r="L226">
        <v>0.3</v>
      </c>
      <c r="M226" t="s">
        <v>18</v>
      </c>
    </row>
    <row r="227" spans="1:13" x14ac:dyDescent="0.25">
      <c r="A227" t="s">
        <v>292</v>
      </c>
      <c r="B227" t="s">
        <v>45</v>
      </c>
      <c r="C227" t="s">
        <v>13</v>
      </c>
      <c r="D227" t="str">
        <f>IF(Merge3[[#This Row],[State Association]]="International", "International","National")</f>
        <v>International</v>
      </c>
      <c r="E227">
        <v>24</v>
      </c>
      <c r="F227" t="str" cm="1">
        <f t="array" ref="F227">_xlfn.IFS(
E227&lt;20,"Below 20",
E227&lt;25,"20-25",
E227&lt;30,"25-30",
E227&lt;35,"30-35",
E227&gt;=35,"Above 35"
)</f>
        <v>20-25</v>
      </c>
      <c r="G227" t="s">
        <v>69</v>
      </c>
      <c r="H227" t="s">
        <v>15</v>
      </c>
      <c r="I227" t="s">
        <v>63</v>
      </c>
      <c r="J227" t="s">
        <v>17</v>
      </c>
      <c r="K227">
        <v>0.3</v>
      </c>
      <c r="L227">
        <v>0.3</v>
      </c>
      <c r="M227" t="s">
        <v>18</v>
      </c>
    </row>
    <row r="228" spans="1:13" x14ac:dyDescent="0.25">
      <c r="A228" t="s">
        <v>293</v>
      </c>
      <c r="B228" t="s">
        <v>12</v>
      </c>
      <c r="C228" t="s">
        <v>13</v>
      </c>
      <c r="D228" t="str">
        <f>IF(Merge3[[#This Row],[State Association]]="International", "International","National")</f>
        <v>International</v>
      </c>
      <c r="E228">
        <v>31</v>
      </c>
      <c r="F228" t="str" cm="1">
        <f t="array" ref="F228">_xlfn.IFS(
E228&lt;20,"Below 20",
E228&lt;25,"20-25",
E228&lt;30,"25-30",
E228&lt;35,"30-35",
E228&gt;=35,"Above 35"
)</f>
        <v>30-35</v>
      </c>
      <c r="G228" t="s">
        <v>63</v>
      </c>
      <c r="H228" t="s">
        <v>15</v>
      </c>
      <c r="I228" t="s">
        <v>14</v>
      </c>
      <c r="J228" t="s">
        <v>30</v>
      </c>
      <c r="K228">
        <v>2</v>
      </c>
      <c r="L228">
        <v>12.5</v>
      </c>
      <c r="M228" t="s">
        <v>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00C809F-E3FD-4553-BCC3-57BE56A2908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Partha Pratim Das</dc:creator>
  <cp:lastModifiedBy>Partha Pratim Das</cp:lastModifiedBy>
  <dcterms:created xsi:type="dcterms:W3CDTF">2026-06-25T11:25:18Z</dcterms:created>
  <dcterms:modified xsi:type="dcterms:W3CDTF">2026-06-25T11:39:07Z</dcterms:modified>
</cp:coreProperties>
</file>